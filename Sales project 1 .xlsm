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study materials\Excel\Projects\"/>
    </mc:Choice>
  </mc:AlternateContent>
  <xr:revisionPtr revIDLastSave="0" documentId="13_ncr:1_{CF84D035-737D-4B6A-AEF0-65DF8D912FDE}"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MY Dashboard" sheetId="3" r:id="rId2"/>
  </sheets>
  <definedNames>
    <definedName name="_xlnm._FilterDatabase" localSheetId="0" hidden="1">'RAW DATA'!$B$1:$B$142</definedName>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K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142"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3" i="1"/>
  <c r="L4" i="1"/>
  <c r="L5" i="1"/>
  <c r="L6" i="1"/>
  <c r="L7" i="1"/>
  <c r="L8" i="1"/>
  <c r="L9" i="1"/>
  <c r="L10" i="1"/>
  <c r="L11" i="1"/>
  <c r="L12" i="1"/>
  <c r="L13"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alcChain>
</file>

<file path=xl/sharedStrings.xml><?xml version="1.0" encoding="utf-8"?>
<sst xmlns="http://schemas.openxmlformats.org/spreadsheetml/2006/main" count="642" uniqueCount="422">
  <si>
    <t>Emp Code</t>
  </si>
  <si>
    <t>Sales Executive</t>
  </si>
  <si>
    <t>Region</t>
  </si>
  <si>
    <t>Day1</t>
  </si>
  <si>
    <t>Day2</t>
  </si>
  <si>
    <t>Day3</t>
  </si>
  <si>
    <t>Day4</t>
  </si>
  <si>
    <t>Day5</t>
  </si>
  <si>
    <t>Total Sales</t>
  </si>
  <si>
    <t>Target</t>
  </si>
  <si>
    <t>Target Hit %</t>
  </si>
  <si>
    <t>Away From Target %</t>
  </si>
  <si>
    <t xml:space="preserve">Total Sales </t>
  </si>
  <si>
    <t>Target Hit % wise</t>
  </si>
  <si>
    <t>Away From Target % wise</t>
  </si>
  <si>
    <t>BD-TCL001</t>
  </si>
  <si>
    <t>Amina Begum</t>
  </si>
  <si>
    <t>Dhaka</t>
  </si>
  <si>
    <t>BD-TCL002</t>
  </si>
  <si>
    <t>Fahim Ahmed</t>
  </si>
  <si>
    <t>Chattogram</t>
  </si>
  <si>
    <t>BD-TCL003</t>
  </si>
  <si>
    <t>Nusrat Jahan</t>
  </si>
  <si>
    <t>Khulna</t>
  </si>
  <si>
    <t>BD-TCL004</t>
  </si>
  <si>
    <t>Rizvi Hasan</t>
  </si>
  <si>
    <t>Rajshahi</t>
  </si>
  <si>
    <t>BD-TCL005</t>
  </si>
  <si>
    <t>Sadia Islam</t>
  </si>
  <si>
    <t>Sylhet</t>
  </si>
  <si>
    <t>BD-TCL006</t>
  </si>
  <si>
    <t>Karim Uddin</t>
  </si>
  <si>
    <t>Barishal</t>
  </si>
  <si>
    <t>BD-TCL007</t>
  </si>
  <si>
    <t>Lima Akter</t>
  </si>
  <si>
    <t>Rangpur</t>
  </si>
  <si>
    <t>BD-TCL008</t>
  </si>
  <si>
    <t>Omar Faruk</t>
  </si>
  <si>
    <t>Mymensingh</t>
  </si>
  <si>
    <t>BD-TCL009</t>
  </si>
  <si>
    <t>Tania Rahman</t>
  </si>
  <si>
    <t>BD-TCL010</t>
  </si>
  <si>
    <t>Shihab Khan</t>
  </si>
  <si>
    <t>BD-TCL011</t>
  </si>
  <si>
    <t>Rina Akter</t>
  </si>
  <si>
    <t>BD-TCL012</t>
  </si>
  <si>
    <t>Joynal Abedin</t>
  </si>
  <si>
    <t>BD-TCL013</t>
  </si>
  <si>
    <t>Priti Das</t>
  </si>
  <si>
    <t>BD-TCL014</t>
  </si>
  <si>
    <t>Kamal Hossain</t>
  </si>
  <si>
    <t>BD-TCL015</t>
  </si>
  <si>
    <t>Shanta Devi</t>
  </si>
  <si>
    <t>BD-TCL016</t>
  </si>
  <si>
    <t>Imran Ali</t>
  </si>
  <si>
    <t>BD-TCL017</t>
  </si>
  <si>
    <t>Disha Chowdhury</t>
  </si>
  <si>
    <t>BD-TCL018</t>
  </si>
  <si>
    <t>Nurul Islam</t>
  </si>
  <si>
    <t>BD-TCL019</t>
  </si>
  <si>
    <t>Monira Begum</t>
  </si>
  <si>
    <t>BD-TCL020</t>
  </si>
  <si>
    <t>Rubel Mia</t>
  </si>
  <si>
    <t>BD-TCL021</t>
  </si>
  <si>
    <t>Sohana Akter</t>
  </si>
  <si>
    <t>BD-TCL022</t>
  </si>
  <si>
    <t>Rafiqul Islam</t>
  </si>
  <si>
    <t>BD-TCL023</t>
  </si>
  <si>
    <t>Jannat Begum</t>
  </si>
  <si>
    <t>BD-TCL024</t>
  </si>
  <si>
    <t>Arif Hossain</t>
  </si>
  <si>
    <t>BD-TCL025</t>
  </si>
  <si>
    <t>Priya Sen</t>
  </si>
  <si>
    <t>BD-TCL026</t>
  </si>
  <si>
    <t>Nadim Khan</t>
  </si>
  <si>
    <t>BD-TCL027</t>
  </si>
  <si>
    <t>Shamima Yeasmin</t>
  </si>
  <si>
    <t>BD-TCL028</t>
  </si>
  <si>
    <t>Elias Ahmed</t>
  </si>
  <si>
    <t>BD-TCL029</t>
  </si>
  <si>
    <t>Shabana Khan</t>
  </si>
  <si>
    <t>BD-TCL030</t>
  </si>
  <si>
    <t>Sakib Hasan</t>
  </si>
  <si>
    <t>BD-TCL031</t>
  </si>
  <si>
    <t>Marufa Begum</t>
  </si>
  <si>
    <t>BD-TCL032</t>
  </si>
  <si>
    <t>Imran Hossain</t>
  </si>
  <si>
    <t>BD-TCL033</t>
  </si>
  <si>
    <t>Bristi Akter</t>
  </si>
  <si>
    <t>BD-TCL034</t>
  </si>
  <si>
    <t>Hassan Ali</t>
  </si>
  <si>
    <t>BD-TCL035</t>
  </si>
  <si>
    <t>Farah Siddika</t>
  </si>
  <si>
    <t>BD-TCL036</t>
  </si>
  <si>
    <t>Tareq Mahmud</t>
  </si>
  <si>
    <t>BD-TCL037</t>
  </si>
  <si>
    <t>Fariha Islam</t>
  </si>
  <si>
    <t>BD-TCL038</t>
  </si>
  <si>
    <t>Alomgir Khan</t>
  </si>
  <si>
    <t>BD-TCL039</t>
  </si>
  <si>
    <t>Mowmita Akter</t>
  </si>
  <si>
    <t>BD-TCL040</t>
  </si>
  <si>
    <t>Rakib Hasan</t>
  </si>
  <si>
    <t>BD-TCL041</t>
  </si>
  <si>
    <t>Nisha Rahman</t>
  </si>
  <si>
    <t>BD-TCL042</t>
  </si>
  <si>
    <t>Shuvo Roy</t>
  </si>
  <si>
    <t>BD-TCL043</t>
  </si>
  <si>
    <t>Sanjoy Barua</t>
  </si>
  <si>
    <t>BD-TCL044</t>
  </si>
  <si>
    <t>Mehedi Hasan</t>
  </si>
  <si>
    <t>BD-TCL045</t>
  </si>
  <si>
    <t>Sumaiya Akter</t>
  </si>
  <si>
    <t>BD-TCL046</t>
  </si>
  <si>
    <t>Abul Kalam</t>
  </si>
  <si>
    <t>BD-TCL047</t>
  </si>
  <si>
    <t>Rima Begum</t>
  </si>
  <si>
    <t>BD-TCL048</t>
  </si>
  <si>
    <t>Kamrul Islam</t>
  </si>
  <si>
    <t>BD-TCL049</t>
  </si>
  <si>
    <t>Farzana Yesmin</t>
  </si>
  <si>
    <t>BD-TCL050</t>
  </si>
  <si>
    <t>Sojib Hasan</t>
  </si>
  <si>
    <t>BD-TCL051</t>
  </si>
  <si>
    <t>Nazma Akter</t>
  </si>
  <si>
    <t>BD-TCL052</t>
  </si>
  <si>
    <t>Rubel Ahmed</t>
  </si>
  <si>
    <t>BD-TCL053</t>
  </si>
  <si>
    <t>Afroza Begum</t>
  </si>
  <si>
    <t>BD-TCL054</t>
  </si>
  <si>
    <t>Babul Mia</t>
  </si>
  <si>
    <t>BD-TCL055</t>
  </si>
  <si>
    <t>Mariya Akter</t>
  </si>
  <si>
    <t>BD-TCL056</t>
  </si>
  <si>
    <t>Jamal Uddin</t>
  </si>
  <si>
    <t>BD-TCL057</t>
  </si>
  <si>
    <t>Kohinoor Begum</t>
  </si>
  <si>
    <t>BD-TCL058</t>
  </si>
  <si>
    <t>Monir Hossain</t>
  </si>
  <si>
    <t>BD-TCL059</t>
  </si>
  <si>
    <t>Sultana Akter</t>
  </si>
  <si>
    <t>BD-TCL060</t>
  </si>
  <si>
    <t>Shakil Ahmed</t>
  </si>
  <si>
    <t>BD-TCL061</t>
  </si>
  <si>
    <t>Laboni Akter</t>
  </si>
  <si>
    <t>BD-TCL062</t>
  </si>
  <si>
    <t>Rasel Mia</t>
  </si>
  <si>
    <t>BD-TCL063</t>
  </si>
  <si>
    <t>Aklima Khatun</t>
  </si>
  <si>
    <t>BD-TCL064</t>
  </si>
  <si>
    <t>Saidul Islam</t>
  </si>
  <si>
    <t>BD-TCL065</t>
  </si>
  <si>
    <t>Taslima Begum</t>
  </si>
  <si>
    <t>BD-TCL066</t>
  </si>
  <si>
    <t>Nayeem Khan</t>
  </si>
  <si>
    <t>BD-TCL067</t>
  </si>
  <si>
    <t>Sumona Akter</t>
  </si>
  <si>
    <t>BD-TCL068</t>
  </si>
  <si>
    <t>Mizanur Rahman</t>
  </si>
  <si>
    <t>BD-TCL069</t>
  </si>
  <si>
    <t>Rina Begum</t>
  </si>
  <si>
    <t>BD-TCL070</t>
  </si>
  <si>
    <t>Shofiqul Islam</t>
  </si>
  <si>
    <t>BD-TCL071</t>
  </si>
  <si>
    <t>Fatema Akter</t>
  </si>
  <si>
    <t>BD-TCL072</t>
  </si>
  <si>
    <t>Monjur Hossain</t>
  </si>
  <si>
    <t>BD-TCL073</t>
  </si>
  <si>
    <t>Rokia Begum</t>
  </si>
  <si>
    <t>BD-TCL074</t>
  </si>
  <si>
    <t>Faruk Ahmed</t>
  </si>
  <si>
    <t>BD-TCL075</t>
  </si>
  <si>
    <t>Laila Khanam</t>
  </si>
  <si>
    <t>BD-TCL076</t>
  </si>
  <si>
    <t>Badsha Mia</t>
  </si>
  <si>
    <t>BD-TCL077</t>
  </si>
  <si>
    <t>Sabina Akter</t>
  </si>
  <si>
    <t>BD-TCL078</t>
  </si>
  <si>
    <t>Mohammad Ali</t>
  </si>
  <si>
    <t>BD-TCL079</t>
  </si>
  <si>
    <t>Lucky Akter</t>
  </si>
  <si>
    <t>BD-TCL080</t>
  </si>
  <si>
    <t>Rubel Islam</t>
  </si>
  <si>
    <t>BD-TCL081</t>
  </si>
  <si>
    <t>Mitu Akter</t>
  </si>
  <si>
    <t>BD-TCL082</t>
  </si>
  <si>
    <t>Suman Roy</t>
  </si>
  <si>
    <t>BD-TCL083</t>
  </si>
  <si>
    <t>Jahanara Begum</t>
  </si>
  <si>
    <t>BD-TCL084</t>
  </si>
  <si>
    <t>Polash Mia</t>
  </si>
  <si>
    <t>BD-TCL085</t>
  </si>
  <si>
    <t>Afifa Jahan</t>
  </si>
  <si>
    <t>BD-TCL086</t>
  </si>
  <si>
    <t>Abdul Karim</t>
  </si>
  <si>
    <t>BD-TCL087</t>
  </si>
  <si>
    <t>Nazmul Hasan</t>
  </si>
  <si>
    <t>BD-TCL088</t>
  </si>
  <si>
    <t>Shihab Uddin</t>
  </si>
  <si>
    <t>BD-TCL089</t>
  </si>
  <si>
    <t>Sadia Khanam</t>
  </si>
  <si>
    <t>BD-TCL090</t>
  </si>
  <si>
    <t>Joy Hasan</t>
  </si>
  <si>
    <t>BD-TCL091</t>
  </si>
  <si>
    <t>Bristy Akter</t>
  </si>
  <si>
    <t>BD-TCL092</t>
  </si>
  <si>
    <t>Kamal Bhuiyan</t>
  </si>
  <si>
    <t>BD-TCL093</t>
  </si>
  <si>
    <t>Akhi Akter</t>
  </si>
  <si>
    <t>BD-TCL094</t>
  </si>
  <si>
    <t>Nur Mohammad</t>
  </si>
  <si>
    <t>BD-TCL095</t>
  </si>
  <si>
    <t>Sharmin Akter</t>
  </si>
  <si>
    <t>BD-TCL096</t>
  </si>
  <si>
    <t>Rana Sikdar</t>
  </si>
  <si>
    <t>BD-TCL097</t>
  </si>
  <si>
    <t>Dilruba Begum</t>
  </si>
  <si>
    <t>BD-TCL098</t>
  </si>
  <si>
    <t>Kabir Hossain</t>
  </si>
  <si>
    <t>BD-TCL099</t>
  </si>
  <si>
    <t>Shahinur Akter</t>
  </si>
  <si>
    <t>BD-TCL100</t>
  </si>
  <si>
    <t>Ferdous Ahmed</t>
  </si>
  <si>
    <t>BD-TCL101</t>
  </si>
  <si>
    <t>Rumi Akter</t>
  </si>
  <si>
    <t>BD-TCL102</t>
  </si>
  <si>
    <t>Sabbir Hasan</t>
  </si>
  <si>
    <t>BD-TCL103</t>
  </si>
  <si>
    <t>Miskat Jahan</t>
  </si>
  <si>
    <t>BD-TCL104</t>
  </si>
  <si>
    <t>Ashik Rahman</t>
  </si>
  <si>
    <t>BD-TCL105</t>
  </si>
  <si>
    <t>Panna Akter</t>
  </si>
  <si>
    <t>BD-TCL106</t>
  </si>
  <si>
    <t>BD-TCL107</t>
  </si>
  <si>
    <t>Shima Akter</t>
  </si>
  <si>
    <t>BD-TCL108</t>
  </si>
  <si>
    <t>Robiul Islam</t>
  </si>
  <si>
    <t>BD-TCL109</t>
  </si>
  <si>
    <t>Sheuly Akter</t>
  </si>
  <si>
    <t>BD-TCL110</t>
  </si>
  <si>
    <t>Shohel Rana</t>
  </si>
  <si>
    <t>BD-TCL111</t>
  </si>
  <si>
    <t>Naznin Akter</t>
  </si>
  <si>
    <t>BD-TCL112</t>
  </si>
  <si>
    <t>Masud Rana</t>
  </si>
  <si>
    <t>BD-TCL113</t>
  </si>
  <si>
    <t>Rifat Jahan</t>
  </si>
  <si>
    <t>BD-TCL114</t>
  </si>
  <si>
    <t>Kamrul Hasan</t>
  </si>
  <si>
    <t>BD-TCL115</t>
  </si>
  <si>
    <t>Jesmin Akter</t>
  </si>
  <si>
    <t>BD-TCL116</t>
  </si>
  <si>
    <t>Shahed Alam</t>
  </si>
  <si>
    <t>BD-TCL117</t>
  </si>
  <si>
    <t>Happy Akter</t>
  </si>
  <si>
    <t>BD-TCL118</t>
  </si>
  <si>
    <t>Al Mamun</t>
  </si>
  <si>
    <t>BD-TCL119</t>
  </si>
  <si>
    <t>Shumi Akter</t>
  </si>
  <si>
    <t>BD-TCL120</t>
  </si>
  <si>
    <t>Mamunur Rashid</t>
  </si>
  <si>
    <t>BD-TCL121</t>
  </si>
  <si>
    <t>Priyanka Das</t>
  </si>
  <si>
    <t>BD-TCL122</t>
  </si>
  <si>
    <t>Babu Khan</t>
  </si>
  <si>
    <t>BD-TCL123</t>
  </si>
  <si>
    <t>Rita Akter</t>
  </si>
  <si>
    <t>BD-TCL124</t>
  </si>
  <si>
    <t>Shojib Mia</t>
  </si>
  <si>
    <t>BD-TCL125</t>
  </si>
  <si>
    <t>Ayesha Siddika</t>
  </si>
  <si>
    <t>BD-TCL126</t>
  </si>
  <si>
    <t>Faisal Ahmed</t>
  </si>
  <si>
    <t>BD-TCL127</t>
  </si>
  <si>
    <t>Sumaya Akter</t>
  </si>
  <si>
    <t>BD-TCL128</t>
  </si>
  <si>
    <t>Abir Hossain</t>
  </si>
  <si>
    <t>BD-TCL129</t>
  </si>
  <si>
    <t>Fatema Tuj Johra</t>
  </si>
  <si>
    <t>BD-TCL130</t>
  </si>
  <si>
    <t>Rashed Khan</t>
  </si>
  <si>
    <t>BD-TCL131</t>
  </si>
  <si>
    <t>Kulsum Begum</t>
  </si>
  <si>
    <t>BD-TCL132</t>
  </si>
  <si>
    <t>Asif Iqbal</t>
  </si>
  <si>
    <t>BD-TCL133</t>
  </si>
  <si>
    <t>Misty Akter</t>
  </si>
  <si>
    <t>BD-TCL134</t>
  </si>
  <si>
    <t>Jahid Hasan</t>
  </si>
  <si>
    <t>BD-TCL135</t>
  </si>
  <si>
    <t>Shikha Rani</t>
  </si>
  <si>
    <t>BD-TCL136</t>
  </si>
  <si>
    <t>Arifur Rahman</t>
  </si>
  <si>
    <t>BD-TCL137</t>
  </si>
  <si>
    <t>Tamanna Akter</t>
  </si>
  <si>
    <t>BD-TCL138</t>
  </si>
  <si>
    <t>Rokon Uddin</t>
  </si>
  <si>
    <t>BD-TCL139</t>
  </si>
  <si>
    <t>Dilara Begum</t>
  </si>
  <si>
    <t>BD-TCL140</t>
  </si>
  <si>
    <t>Emon Khan</t>
  </si>
  <si>
    <t>BD-TCL141</t>
  </si>
  <si>
    <t>Momena Akter</t>
  </si>
  <si>
    <t>BD-TCL142</t>
  </si>
  <si>
    <t>Sohel Mia</t>
  </si>
  <si>
    <t>BD-TCL143</t>
  </si>
  <si>
    <t>Rina Islam</t>
  </si>
  <si>
    <t>BD-TCL144</t>
  </si>
  <si>
    <t>Akbar Hossain</t>
  </si>
  <si>
    <t>BD-TCL145</t>
  </si>
  <si>
    <t>Nusrat Jaman</t>
  </si>
  <si>
    <t>BD-TCL146</t>
  </si>
  <si>
    <t>Shafin Ahmed</t>
  </si>
  <si>
    <t>BD-TCL147</t>
  </si>
  <si>
    <t>Zannatul Ferdous</t>
  </si>
  <si>
    <t>BD-TCL148</t>
  </si>
  <si>
    <t>Shuvo Dev</t>
  </si>
  <si>
    <t>BD-TCL149</t>
  </si>
  <si>
    <t>Lina Akter</t>
  </si>
  <si>
    <t>BD-TCL150</t>
  </si>
  <si>
    <t>Kawsar Ali</t>
  </si>
  <si>
    <t>BD-TCL151</t>
  </si>
  <si>
    <t>Nazmul Hossain</t>
  </si>
  <si>
    <t>BD-TCL152</t>
  </si>
  <si>
    <t>Shakib Mia</t>
  </si>
  <si>
    <t>BD-TCL153</t>
  </si>
  <si>
    <t>Tahmina Akter</t>
  </si>
  <si>
    <t>BD-TCL154</t>
  </si>
  <si>
    <t>Saddam Khan</t>
  </si>
  <si>
    <t>BD-TCL155</t>
  </si>
  <si>
    <t>Sumiya Khatun</t>
  </si>
  <si>
    <t>BD-TCL156</t>
  </si>
  <si>
    <t>Rajib Hossain</t>
  </si>
  <si>
    <t>BD-TCL157</t>
  </si>
  <si>
    <t>Popy Akter</t>
  </si>
  <si>
    <t>BD-TCL158</t>
  </si>
  <si>
    <t>Ripon Mia</t>
  </si>
  <si>
    <t>BD-TCL159</t>
  </si>
  <si>
    <t>Sultana Razia</t>
  </si>
  <si>
    <t>BD-TCL160</t>
  </si>
  <si>
    <t>Ashraful Islam</t>
  </si>
  <si>
    <t>BD-TCL161</t>
  </si>
  <si>
    <t>Mariya Begum</t>
  </si>
  <si>
    <t>BD-TCL162</t>
  </si>
  <si>
    <t>Aminul Islam</t>
  </si>
  <si>
    <t>BD-TCL163</t>
  </si>
  <si>
    <t>Farida Begum</t>
  </si>
  <si>
    <t>BD-TCL164</t>
  </si>
  <si>
    <t>Parvez Hossain</t>
  </si>
  <si>
    <t>BD-TCL165</t>
  </si>
  <si>
    <t>Ruma Akter</t>
  </si>
  <si>
    <t>BD-TCL166</t>
  </si>
  <si>
    <t>Jamil Ahmed</t>
  </si>
  <si>
    <t>BD-TCL167</t>
  </si>
  <si>
    <t>Bithi Akter</t>
  </si>
  <si>
    <t>BD-TCL168</t>
  </si>
  <si>
    <t>Md. Sohel</t>
  </si>
  <si>
    <t>BD-TCL169</t>
  </si>
  <si>
    <t>Nargis Sultana</t>
  </si>
  <si>
    <t>BD-TCL170</t>
  </si>
  <si>
    <t>Mamun Hossain</t>
  </si>
  <si>
    <t>BD-TCL171</t>
  </si>
  <si>
    <t>Sharmin Sultana</t>
  </si>
  <si>
    <t>BD-TCL172</t>
  </si>
  <si>
    <t>Sujon Mia</t>
  </si>
  <si>
    <t>BD-TCL173</t>
  </si>
  <si>
    <t>Shekhor Mia</t>
  </si>
  <si>
    <t>BD-TCL174</t>
  </si>
  <si>
    <t>Hridoy Khan</t>
  </si>
  <si>
    <t>BD-TCL175</t>
  </si>
  <si>
    <t>Samira Akter</t>
  </si>
  <si>
    <t>BD-TCL176</t>
  </si>
  <si>
    <t>BD-TCL177</t>
  </si>
  <si>
    <t>Disha Akter</t>
  </si>
  <si>
    <t>BD-TCL178</t>
  </si>
  <si>
    <t>Riyad Hossain</t>
  </si>
  <si>
    <t>BD-TCL179</t>
  </si>
  <si>
    <t>Faria Akter</t>
  </si>
  <si>
    <t>BD-TCL180</t>
  </si>
  <si>
    <t>Asaduzzaman</t>
  </si>
  <si>
    <t>BD-TCL181</t>
  </si>
  <si>
    <t>Shanta Akter</t>
  </si>
  <si>
    <t>BD-TCL182</t>
  </si>
  <si>
    <t>Shahidul Islam</t>
  </si>
  <si>
    <t>BD-TCL183</t>
  </si>
  <si>
    <t>Priyashi Barua</t>
  </si>
  <si>
    <t>BD-TCL184</t>
  </si>
  <si>
    <t>Mahmudul Hasan</t>
  </si>
  <si>
    <t>BD-TCL185</t>
  </si>
  <si>
    <t>Nazifa Rahman</t>
  </si>
  <si>
    <t>BD-TCL186</t>
  </si>
  <si>
    <t>Tanvir Ahmed</t>
  </si>
  <si>
    <t>BD-TCL187</t>
  </si>
  <si>
    <t>Shirin Akter</t>
  </si>
  <si>
    <t>BD-TCL188</t>
  </si>
  <si>
    <t>Rafsan Ahmed</t>
  </si>
  <si>
    <t>BD-TCL189</t>
  </si>
  <si>
    <t>Sumon Hasan</t>
  </si>
  <si>
    <t>BD-TCL190</t>
  </si>
  <si>
    <t>Rifat Islam</t>
  </si>
  <si>
    <t>BD-TCL191</t>
  </si>
  <si>
    <t>Sadia Akter</t>
  </si>
  <si>
    <t>BD-TCL192</t>
  </si>
  <si>
    <t>Arif Islam</t>
  </si>
  <si>
    <t>BD-TCL193</t>
  </si>
  <si>
    <t>Liza Akter</t>
  </si>
  <si>
    <t>BD-TCL194</t>
  </si>
  <si>
    <t>Joy Sarkar</t>
  </si>
  <si>
    <t>BD-TCL195</t>
  </si>
  <si>
    <t>Akter Hossain</t>
  </si>
  <si>
    <t>BD-TCL196</t>
  </si>
  <si>
    <t>Rajia Sultana</t>
  </si>
  <si>
    <t>BD-TCL197</t>
  </si>
  <si>
    <t>Sanaullah</t>
  </si>
  <si>
    <t>BD-TCL198</t>
  </si>
  <si>
    <t>Tamim Iqbal</t>
  </si>
  <si>
    <t>BD-TCL199</t>
  </si>
  <si>
    <t>Ferdousi Akter</t>
  </si>
  <si>
    <t>BD-TCL200</t>
  </si>
  <si>
    <t>Asmaul Husna</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</si>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</sst>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0">
    <xf numFmtId="0" fontId="0" fillId="0" borderId="0" xfId="0"/>
    <xf numFmtId="0" fontId="2" fillId="2" borderId="1" xfId="0" applyFont="1" applyFill="1" applyBorder="1" applyAlignment="1">
      <alignment horizontal="center" vertical="center"/>
    </xf>
    <xf numFmtId="10" fontId="3" fillId="3" borderId="1" xfId="1" applyNumberFormat="1" applyFont="1" applyFill="1" applyBorder="1" applyAlignment="1">
      <alignment horizontal="center" vertical="center"/>
    </xf>
    <xf numFmtId="10" fontId="3" fillId="3" borderId="1"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164" fontId="0" fillId="0" borderId="0" xfId="0" applyNumberFormat="1"/>
    <xf numFmtId="0" fontId="0" fillId="0" borderId="0" xfId="0" applyNumberFormat="1"/>
  </cellXfs>
  <cellStyles count="2">
    <cellStyle name="Normal" xfId="0" builtinId="0"/>
    <cellStyle name="Percent" xfId="1" builtinId="5"/>
  </cellStyles>
  <dxfs count="2">
    <dxf>
      <fill>
        <patternFill>
          <bgColor theme="7" tint="0.7999816888943144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59A38B09-9753-4EEB-B665-E47033D4B4A3}">
      <tableStyleElement type="wholeTable" dxfId="0"/>
    </tableStyle>
  </tableStyles>
  <extLst>
    <ext xmlns:x14="http://schemas.microsoft.com/office/spreadsheetml/2009/9/main" uri="{46F421CA-312F-682f-3DD2-61675219B42D}">
      <x14:dxfs count="8">
        <dxf>
          <fill>
            <patternFill>
              <bgColor theme="7" tint="0.39994506668294322"/>
            </patternFill>
          </fill>
        </dxf>
        <dxf>
          <fill>
            <patternFill>
              <bgColor theme="7" tint="0.39994506668294322"/>
            </patternFill>
          </fill>
        </dxf>
        <dxf>
          <fill>
            <patternFill>
              <bgColor rgb="FFFFC0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1 .xlsm]MY 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w="12700" cap="flat" cmpd="sng" algn="ctr">
              <a:noFill/>
              <a:prstDash val="solid"/>
              <a:miter lim="800000"/>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flowChartProcess">
                  <a:avLst/>
                </a:prstGeom>
                <a:noFill/>
                <a:ln>
                  <a:noFill/>
                </a:ln>
              </c15:spPr>
            </c:ext>
          </c:extLst>
        </c:dLbl>
      </c:pivotFmt>
      <c:pivotFmt>
        <c:idx val="1"/>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 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Dashboard'!$A$4:$A$9</c:f>
              <c:strCache>
                <c:ptCount val="6"/>
                <c:pt idx="0">
                  <c:v>Sojib Hasan</c:v>
                </c:pt>
                <c:pt idx="1">
                  <c:v>Monir Hossain</c:v>
                </c:pt>
                <c:pt idx="2">
                  <c:v>Joy Hasan</c:v>
                </c:pt>
                <c:pt idx="3">
                  <c:v>Kamrul Hasan</c:v>
                </c:pt>
                <c:pt idx="4">
                  <c:v>Babu Khan</c:v>
                </c:pt>
                <c:pt idx="5">
                  <c:v>Rokon Uddin</c:v>
                </c:pt>
              </c:strCache>
            </c:strRef>
          </c:cat>
          <c:val>
            <c:numRef>
              <c:f>'MY Dashboard'!$B$4:$B$9</c:f>
              <c:numCache>
                <c:formatCode>General</c:formatCode>
                <c:ptCount val="6"/>
                <c:pt idx="0">
                  <c:v>395</c:v>
                </c:pt>
                <c:pt idx="1">
                  <c:v>416</c:v>
                </c:pt>
                <c:pt idx="2">
                  <c:v>476</c:v>
                </c:pt>
                <c:pt idx="3">
                  <c:v>420</c:v>
                </c:pt>
                <c:pt idx="4">
                  <c:v>471</c:v>
                </c:pt>
                <c:pt idx="5">
                  <c:v>395</c:v>
                </c:pt>
              </c:numCache>
            </c:numRef>
          </c:val>
          <c:extLst>
            <c:ext xmlns:c16="http://schemas.microsoft.com/office/drawing/2014/chart" uri="{C3380CC4-5D6E-409C-BE32-E72D297353CC}">
              <c16:uniqueId val="{00000000-DDA1-49EA-945A-72E490AA25E9}"/>
            </c:ext>
          </c:extLst>
        </c:ser>
        <c:dLbls>
          <c:showLegendKey val="0"/>
          <c:showVal val="0"/>
          <c:showCatName val="0"/>
          <c:showSerName val="0"/>
          <c:showPercent val="0"/>
          <c:showBubbleSize val="0"/>
        </c:dLbls>
        <c:gapWidth val="150"/>
        <c:axId val="1611754927"/>
        <c:axId val="1611755407"/>
      </c:barChart>
      <c:catAx>
        <c:axId val="1611754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755407"/>
        <c:crosses val="autoZero"/>
        <c:auto val="1"/>
        <c:lblAlgn val="ctr"/>
        <c:lblOffset val="100"/>
        <c:noMultiLvlLbl val="0"/>
      </c:catAx>
      <c:valAx>
        <c:axId val="1611755407"/>
        <c:scaling>
          <c:orientation val="minMax"/>
        </c:scaling>
        <c:delete val="1"/>
        <c:axPos val="b"/>
        <c:numFmt formatCode="General" sourceLinked="1"/>
        <c:majorTickMark val="none"/>
        <c:minorTickMark val="none"/>
        <c:tickLblPos val="nextTo"/>
        <c:crossAx val="161175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1 .xlsm]MY Dashboard!PivotTable3</c:name>
    <c:fmtId val="4"/>
  </c:pivotSource>
  <c:chart>
    <c:autoTitleDeleted val="1"/>
    <c:pivotFmts>
      <c:pivotFmt>
        <c:idx val="0"/>
        <c:spPr>
          <a:solidFill>
            <a:schemeClr val="accent1"/>
          </a:solidFill>
          <a:ln w="19050">
            <a:solidFill>
              <a:schemeClr val="lt1"/>
            </a:solidFill>
          </a:ln>
          <a:effectLst/>
        </c:spPr>
        <c:marker>
          <c:symbol val="none"/>
        </c:marker>
        <c:dLbl>
          <c:idx val="0"/>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'MY 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AA-48CC-8CA7-B8EA2A5339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AA-48CC-8CA7-B8EA2A5339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AA-48CC-8CA7-B8EA2A5339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AA-48CC-8CA7-B8EA2A5339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AA-48CC-8CA7-B8EA2A533924}"/>
              </c:ext>
            </c:extLst>
          </c:dPt>
          <c:dPt>
            <c:idx val="5"/>
            <c:bubble3D val="0"/>
            <c:spPr>
              <a:solidFill>
                <a:schemeClr val="accent6"/>
              </a:solidFill>
              <a:ln w="19050">
                <a:solidFill>
                  <a:schemeClr val="lt1"/>
                </a:solidFill>
              </a:ln>
              <a:effectLst/>
            </c:spPr>
          </c:dPt>
          <c:dLbls>
            <c:spPr>
              <a:solidFill>
                <a:schemeClr val="tx1">
                  <a:lumMod val="95000"/>
                  <a:lumOff val="5000"/>
                </a:schemeClr>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'MY Dashboard'!$G$4:$G$9</c:f>
              <c:strCache>
                <c:ptCount val="6"/>
                <c:pt idx="0">
                  <c:v>Sojib Hasan</c:v>
                </c:pt>
                <c:pt idx="1">
                  <c:v>Monir Hossain</c:v>
                </c:pt>
                <c:pt idx="2">
                  <c:v>Joy Hasan</c:v>
                </c:pt>
                <c:pt idx="3">
                  <c:v>Kamrul Hasan</c:v>
                </c:pt>
                <c:pt idx="4">
                  <c:v>Babu Khan</c:v>
                </c:pt>
                <c:pt idx="5">
                  <c:v>Rokon Uddin</c:v>
                </c:pt>
              </c:strCache>
            </c:strRef>
          </c:cat>
          <c:val>
            <c:numRef>
              <c:f>'MY Dashboard'!$H$4:$H$9</c:f>
              <c:numCache>
                <c:formatCode>0.00%</c:formatCode>
                <c:ptCount val="6"/>
                <c:pt idx="0">
                  <c:v>0.79</c:v>
                </c:pt>
                <c:pt idx="1">
                  <c:v>0.83199999999999996</c:v>
                </c:pt>
                <c:pt idx="2">
                  <c:v>0.95199999999999996</c:v>
                </c:pt>
                <c:pt idx="3">
                  <c:v>0.84</c:v>
                </c:pt>
                <c:pt idx="4">
                  <c:v>0.94199999999999995</c:v>
                </c:pt>
                <c:pt idx="5">
                  <c:v>0.79</c:v>
                </c:pt>
              </c:numCache>
            </c:numRef>
          </c:val>
          <c:extLst>
            <c:ext xmlns:c16="http://schemas.microsoft.com/office/drawing/2014/chart" uri="{C3380CC4-5D6E-409C-BE32-E72D297353CC}">
              <c16:uniqueId val="{0000000A-8D0F-4B79-8730-DEDDBA9CF9A9}"/>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 1 .xlsm]MY Dashboard!PivotTable4</c:name>
    <c:fmtId val="4"/>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lineChart>
        <c:grouping val="standard"/>
        <c:varyColors val="0"/>
        <c:ser>
          <c:idx val="0"/>
          <c:order val="0"/>
          <c:tx>
            <c:strRef>
              <c:f>'MY 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Dashboard'!$J$4:$J$8</c:f>
              <c:strCache>
                <c:ptCount val="5"/>
                <c:pt idx="0">
                  <c:v>Fahim Ahmed</c:v>
                </c:pt>
                <c:pt idx="1">
                  <c:v>Rafiqul Islam</c:v>
                </c:pt>
                <c:pt idx="2">
                  <c:v>Shuvo Roy</c:v>
                </c:pt>
                <c:pt idx="3">
                  <c:v>Nayeem Khan</c:v>
                </c:pt>
                <c:pt idx="4">
                  <c:v>Rashed Khan</c:v>
                </c:pt>
              </c:strCache>
            </c:strRef>
          </c:cat>
          <c:val>
            <c:numRef>
              <c:f>'MY Dashboard'!$K$4:$K$8</c:f>
              <c:numCache>
                <c:formatCode>0.00%</c:formatCode>
                <c:ptCount val="5"/>
                <c:pt idx="0">
                  <c:v>0.80600000000000005</c:v>
                </c:pt>
                <c:pt idx="1">
                  <c:v>0.70599999999999996</c:v>
                </c:pt>
                <c:pt idx="2">
                  <c:v>0.75800000000000001</c:v>
                </c:pt>
                <c:pt idx="3">
                  <c:v>0.70599999999999996</c:v>
                </c:pt>
                <c:pt idx="4">
                  <c:v>0.75800000000000001</c:v>
                </c:pt>
              </c:numCache>
            </c:numRef>
          </c:val>
          <c:smooth val="0"/>
          <c:extLst>
            <c:ext xmlns:c16="http://schemas.microsoft.com/office/drawing/2014/chart" uri="{C3380CC4-5D6E-409C-BE32-E72D297353CC}">
              <c16:uniqueId val="{00000000-D883-4E1A-8E67-BFB67D44AF2A}"/>
            </c:ext>
          </c:extLst>
        </c:ser>
        <c:dLbls>
          <c:showLegendKey val="0"/>
          <c:showVal val="0"/>
          <c:showCatName val="0"/>
          <c:showSerName val="0"/>
          <c:showPercent val="0"/>
          <c:showBubbleSize val="0"/>
        </c:dLbls>
        <c:smooth val="0"/>
        <c:axId val="509484463"/>
        <c:axId val="509471023"/>
      </c:lineChart>
      <c:catAx>
        <c:axId val="509484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471023"/>
        <c:crosses val="autoZero"/>
        <c:auto val="1"/>
        <c:lblAlgn val="ctr"/>
        <c:lblOffset val="100"/>
        <c:noMultiLvlLbl val="0"/>
      </c:catAx>
      <c:valAx>
        <c:axId val="509471023"/>
        <c:scaling>
          <c:orientation val="minMax"/>
        </c:scaling>
        <c:delete val="1"/>
        <c:axPos val="l"/>
        <c:numFmt formatCode="0.00%" sourceLinked="1"/>
        <c:majorTickMark val="none"/>
        <c:minorTickMark val="none"/>
        <c:tickLblPos val="nextTo"/>
        <c:crossAx val="50948446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21626</xdr:rowOff>
    </xdr:from>
    <xdr:to>
      <xdr:col>5</xdr:col>
      <xdr:colOff>11723</xdr:colOff>
      <xdr:row>19</xdr:row>
      <xdr:rowOff>45273</xdr:rowOff>
    </xdr:to>
    <xdr:graphicFrame macro="">
      <xdr:nvGraphicFramePr>
        <xdr:cNvPr id="2" name="Chart 1">
          <a:extLst>
            <a:ext uri="{FF2B5EF4-FFF2-40B4-BE49-F238E27FC236}">
              <a16:creationId xmlns:a16="http://schemas.microsoft.com/office/drawing/2014/main" id="{5F2CE750-28F4-8285-1EFA-BFA23B37D7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11723</xdr:colOff>
      <xdr:row>0</xdr:row>
      <xdr:rowOff>29308</xdr:rowOff>
    </xdr:from>
    <xdr:to>
      <xdr:col>11</xdr:col>
      <xdr:colOff>11722</xdr:colOff>
      <xdr:row>1</xdr:row>
      <xdr:rowOff>99646</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CE399777-CEFD-38D1-131F-034CC82334A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723" y="29308"/>
              <a:ext cx="10738337"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143608</xdr:colOff>
      <xdr:row>9</xdr:row>
      <xdr:rowOff>36340</xdr:rowOff>
    </xdr:from>
    <xdr:to>
      <xdr:col>7</xdr:col>
      <xdr:colOff>1412630</xdr:colOff>
      <xdr:row>19</xdr:row>
      <xdr:rowOff>77372</xdr:rowOff>
    </xdr:to>
    <xdr:graphicFrame macro="">
      <xdr:nvGraphicFramePr>
        <xdr:cNvPr id="6" name="Chart 5">
          <a:extLst>
            <a:ext uri="{FF2B5EF4-FFF2-40B4-BE49-F238E27FC236}">
              <a16:creationId xmlns:a16="http://schemas.microsoft.com/office/drawing/2014/main" id="{FCC6975C-1876-ADD3-4FD0-42971647B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24338</xdr:colOff>
      <xdr:row>9</xdr:row>
      <xdr:rowOff>32238</xdr:rowOff>
    </xdr:from>
    <xdr:to>
      <xdr:col>11</xdr:col>
      <xdr:colOff>31067</xdr:colOff>
      <xdr:row>19</xdr:row>
      <xdr:rowOff>77958</xdr:rowOff>
    </xdr:to>
    <xdr:graphicFrame macro="">
      <xdr:nvGraphicFramePr>
        <xdr:cNvPr id="7" name="Chart 6">
          <a:extLst>
            <a:ext uri="{FF2B5EF4-FFF2-40B4-BE49-F238E27FC236}">
              <a16:creationId xmlns:a16="http://schemas.microsoft.com/office/drawing/2014/main" id="{686AC373-5775-04A3-6458-0CCF1D8A1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566370</xdr:colOff>
      <xdr:row>1</xdr:row>
      <xdr:rowOff>82063</xdr:rowOff>
    </xdr:from>
    <xdr:to>
      <xdr:col>1</xdr:col>
      <xdr:colOff>525339</xdr:colOff>
      <xdr:row>1</xdr:row>
      <xdr:rowOff>386863</xdr:rowOff>
    </xdr:to>
    <xdr:sp macro="" textlink="">
      <xdr:nvSpPr>
        <xdr:cNvPr id="4" name="Speech Bubble: Rectangle with Corners Rounded 3">
          <a:extLst>
            <a:ext uri="{FF2B5EF4-FFF2-40B4-BE49-F238E27FC236}">
              <a16:creationId xmlns:a16="http://schemas.microsoft.com/office/drawing/2014/main" id="{2329B927-920F-5681-D74A-B3CF9C972295}"/>
            </a:ext>
          </a:extLst>
        </xdr:cNvPr>
        <xdr:cNvSpPr/>
      </xdr:nvSpPr>
      <xdr:spPr>
        <a:xfrm>
          <a:off x="566370" y="510688"/>
          <a:ext cx="1054344" cy="3048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701040</xdr:colOff>
          <xdr:row>1</xdr:row>
          <xdr:rowOff>121920</xdr:rowOff>
        </xdr:from>
        <xdr:to>
          <xdr:col>1</xdr:col>
          <xdr:colOff>358140</xdr:colOff>
          <xdr:row>1</xdr:row>
          <xdr:rowOff>342900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546666</xdr:colOff>
      <xdr:row>1</xdr:row>
      <xdr:rowOff>79902</xdr:rowOff>
    </xdr:from>
    <xdr:to>
      <xdr:col>4</xdr:col>
      <xdr:colOff>505636</xdr:colOff>
      <xdr:row>1</xdr:row>
      <xdr:rowOff>384702</xdr:rowOff>
    </xdr:to>
    <xdr:sp macro="" textlink="">
      <xdr:nvSpPr>
        <xdr:cNvPr id="10" name="Speech Bubble: Rectangle with Corners Rounded 9">
          <a:extLst>
            <a:ext uri="{FF2B5EF4-FFF2-40B4-BE49-F238E27FC236}">
              <a16:creationId xmlns:a16="http://schemas.microsoft.com/office/drawing/2014/main" id="{7A3A2CC2-D97A-47D8-9116-31860F44D8C8}"/>
            </a:ext>
          </a:extLst>
        </xdr:cNvPr>
        <xdr:cNvSpPr/>
      </xdr:nvSpPr>
      <xdr:spPr>
        <a:xfrm>
          <a:off x="3009129" y="505018"/>
          <a:ext cx="1057854" cy="3048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685800</xdr:colOff>
          <xdr:row>1</xdr:row>
          <xdr:rowOff>121920</xdr:rowOff>
        </xdr:from>
        <xdr:to>
          <xdr:col>4</xdr:col>
          <xdr:colOff>342900</xdr:colOff>
          <xdr:row>1</xdr:row>
          <xdr:rowOff>342900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509954</xdr:colOff>
      <xdr:row>1</xdr:row>
      <xdr:rowOff>76200</xdr:rowOff>
    </xdr:from>
    <xdr:to>
      <xdr:col>7</xdr:col>
      <xdr:colOff>427893</xdr:colOff>
      <xdr:row>1</xdr:row>
      <xdr:rowOff>381000</xdr:rowOff>
    </xdr:to>
    <xdr:sp macro="" textlink="">
      <xdr:nvSpPr>
        <xdr:cNvPr id="11" name="Speech Bubble: Rectangle with Corners Rounded 10">
          <a:extLst>
            <a:ext uri="{FF2B5EF4-FFF2-40B4-BE49-F238E27FC236}">
              <a16:creationId xmlns:a16="http://schemas.microsoft.com/office/drawing/2014/main" id="{08401947-9985-4056-AFB8-D40A9DB4093D}"/>
            </a:ext>
          </a:extLst>
        </xdr:cNvPr>
        <xdr:cNvSpPr/>
      </xdr:nvSpPr>
      <xdr:spPr>
        <a:xfrm>
          <a:off x="5480539" y="504092"/>
          <a:ext cx="1055077" cy="3048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647700</xdr:colOff>
          <xdr:row>1</xdr:row>
          <xdr:rowOff>114300</xdr:rowOff>
        </xdr:from>
        <xdr:to>
          <xdr:col>7</xdr:col>
          <xdr:colOff>259080</xdr:colOff>
          <xdr:row>1</xdr:row>
          <xdr:rowOff>335280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550923</xdr:colOff>
      <xdr:row>1</xdr:row>
      <xdr:rowOff>79508</xdr:rowOff>
    </xdr:from>
    <xdr:to>
      <xdr:col>10</xdr:col>
      <xdr:colOff>480584</xdr:colOff>
      <xdr:row>1</xdr:row>
      <xdr:rowOff>384308</xdr:rowOff>
    </xdr:to>
    <xdr:sp macro="" textlink="">
      <xdr:nvSpPr>
        <xdr:cNvPr id="12" name="Speech Bubble: Rectangle with Corners Rounded 11">
          <a:extLst>
            <a:ext uri="{FF2B5EF4-FFF2-40B4-BE49-F238E27FC236}">
              <a16:creationId xmlns:a16="http://schemas.microsoft.com/office/drawing/2014/main" id="{93003459-3A6E-4D40-A93C-0802AA782DE6}"/>
            </a:ext>
          </a:extLst>
        </xdr:cNvPr>
        <xdr:cNvSpPr/>
      </xdr:nvSpPr>
      <xdr:spPr>
        <a:xfrm>
          <a:off x="8216643" y="506228"/>
          <a:ext cx="1057421" cy="304800"/>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685800</xdr:colOff>
          <xdr:row>1</xdr:row>
          <xdr:rowOff>121920</xdr:rowOff>
        </xdr:from>
        <xdr:to>
          <xdr:col>10</xdr:col>
          <xdr:colOff>312420</xdr:colOff>
          <xdr:row>1</xdr:row>
          <xdr:rowOff>342900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WTECH" refreshedDate="45830.714481944444" createdVersion="6" refreshedVersion="8" minRefreshableVersion="3" recordCount="141" xr:uid="{8180B0FA-D09D-4041-BC3B-A0DAF7637495}">
  <cacheSource type="worksheet">
    <worksheetSource ref="A1:L142" sheet="RAW DATA"/>
  </cacheSource>
  <cacheFields count="12">
    <cacheField name="Emp Code" numFmtId="0">
      <sharedItems/>
    </cacheField>
    <cacheField name="Sales Executive" numFmtId="0">
      <sharedItems count="281">
        <s v="Amina Begum"/>
        <s v="Fahim Ahmed"/>
        <s v="Nusrat Jahan"/>
        <s v="Rizvi Hasan"/>
        <s v="Sadia Islam"/>
        <s v="Karim Uddin"/>
        <s v="Lima Akter"/>
        <s v="Omar Faruk"/>
        <s v="Tania Rahman"/>
        <s v="Shihab Khan"/>
        <s v="Rina Akter"/>
        <s v="Joynal Abedin"/>
        <s v="Priti Das"/>
        <s v="Kamal Hossain"/>
        <s v="Shanta Devi"/>
        <s v="Imran Ali"/>
        <s v="Disha Chowdhury"/>
        <s v="Nurul Islam"/>
        <s v="Monira Begum"/>
        <s v="Rubel Mia"/>
        <s v="Sohana Akter"/>
        <s v="Rafiqul Islam"/>
        <s v="Jannat Begum"/>
        <s v="Arif Hossain"/>
        <s v="Priya Sen"/>
        <s v="Nadim Khan"/>
        <s v="Shamima Yeasmin"/>
        <s v="Elias Ahmed"/>
        <s v="Shabana Khan"/>
        <s v="Sakib Hasan"/>
        <s v="Marufa Begum"/>
        <s v="Imran Hossain"/>
        <s v="Bristi Akter"/>
        <s v="Hassan Ali"/>
        <s v="Farah Siddika"/>
        <s v="Tareq Mahmud"/>
        <s v="Fariha Islam"/>
        <s v="Alomgir Khan"/>
        <s v="Mowmita Akter"/>
        <s v="Rakib Hasan"/>
        <s v="Nisha Rahman"/>
        <s v="Shuvo Roy"/>
        <s v="Sanjoy Barua"/>
        <s v="Mehedi Hasan"/>
        <s v="Sumaiya Akter"/>
        <s v="Abul Kalam"/>
        <s v="Rima Begum"/>
        <s v="Kamrul Islam"/>
        <s v="Farzana Yesmin"/>
        <s v="Sojib Hasan"/>
        <s v="Nazma Akter"/>
        <s v="Rubel Ahmed"/>
        <s v="Afroza Begum"/>
        <s v="Babul Mia"/>
        <s v="Mariya Akter"/>
        <s v="Jamal Uddin"/>
        <s v="Kohinoor Begum"/>
        <s v="Monir Hossain"/>
        <s v="Sultana Akter"/>
        <s v="Shakil Ahmed"/>
        <s v="Laboni Akter"/>
        <s v="Rasel Mia"/>
        <s v="Aklima Khatun"/>
        <s v="Saidul Islam"/>
        <s v="Taslima Begum"/>
        <s v="Nayeem Khan"/>
        <s v="Sumona Akter"/>
        <s v="Mizanur Rahman"/>
        <s v="Rina Begum"/>
        <s v="Shofiqul Islam"/>
        <s v="Fatema Akter"/>
        <s v="Monjur Hossain"/>
        <s v="Rokia Begum"/>
        <s v="Faruk Ahmed"/>
        <s v="Laila Khanam"/>
        <s v="Badsha Mia"/>
        <s v="Sabina Akter"/>
        <s v="Mohammad Ali"/>
        <s v="Lucky Akter"/>
        <s v="Rubel Islam"/>
        <s v="Mitu Akter"/>
        <s v="Suman Roy"/>
        <s v="Jahanara Begum"/>
        <s v="Polash Mia"/>
        <s v="Afifa Jahan"/>
        <s v="Abdul Karim"/>
        <s v="Nazmul Hasan"/>
        <s v="Shihab Uddin"/>
        <s v="Sadia Khanam"/>
        <s v="Joy Hasan"/>
        <s v="Bristy Akter"/>
        <s v="Kamal Bhuiyan"/>
        <s v="Akhi Akter"/>
        <s v="Nur Mohammad"/>
        <s v="Sharmin Akter"/>
        <s v="Rana Sikdar"/>
        <s v="Dilruba Begum"/>
        <s v="Kabir Hossain"/>
        <s v="Shahinur Akter"/>
        <s v="Ferdous Ahmed"/>
        <s v="Rumi Akter"/>
        <s v="Sabbir Hasan"/>
        <s v="Miskat Jahan"/>
        <s v="Ashik Rahman"/>
        <s v="Panna Akter"/>
        <s v="Shima Akter"/>
        <s v="Robiul Islam"/>
        <s v="Sheuly Akter"/>
        <s v="Shohel Rana"/>
        <s v="Naznin Akter"/>
        <s v="Masud Rana"/>
        <s v="Rifat Jahan"/>
        <s v="Kamrul Hasan"/>
        <s v="Jesmin Akter"/>
        <s v="Shahed Alam"/>
        <s v="Happy Akter"/>
        <s v="Al Mamun"/>
        <s v="Shumi Akter"/>
        <s v="Mamunur Rashid"/>
        <s v="Priyanka Das"/>
        <s v="Babu Khan"/>
        <s v="Rita Akter"/>
        <s v="Shojib Mia"/>
        <s v="Ayesha Siddika"/>
        <s v="Faisal Ahmed"/>
        <s v="Sumaya Akter"/>
        <s v="Abir Hossain"/>
        <s v="Fatema Tuj Johra"/>
        <s v="Rashed Khan"/>
        <s v="Kulsum Begum"/>
        <s v="Asif Iqbal"/>
        <s v="Misty Akter"/>
        <s v="Jahid Hasan"/>
        <s v="Shikha Rani"/>
        <s v="Arifur Rahman"/>
        <s v="Tamanna Akter"/>
        <s v="Rokon Uddin"/>
        <s v="Dilara Begum"/>
        <s v="Emon Khan"/>
        <s v="Momena Akter"/>
        <s v="Raj Verma" u="1"/>
        <s v="Tanuja Kale" u="1"/>
        <s v="Arvind Sharma" u="1"/>
        <s v="Tahira Qureshi" u="1"/>
        <s v="Anuj Sharma" u="1"/>
        <s v="Syed Sohail" u="1"/>
        <s v="Syed Saqib" u="1"/>
        <s v="Syed Naved" u="1"/>
        <s v="Swarnlata Borse" u="1"/>
        <s v="Sushma Khandelwal" u="1"/>
        <s v="Surendranath Thakur" u="1"/>
        <s v="Surendra Kumar" u="1"/>
        <s v="Sunita Madnani" u="1"/>
        <s v="Sunita Chawla" u="1"/>
        <s v="Sunil Kumar" u="1"/>
        <s v="Sudhir Kumar" u="1"/>
        <s v="Sudama Kumar" u="1"/>
        <s v="Sonaram Munda" u="1"/>
        <s v="Sneh Khan" u="1"/>
        <s v="Shyamal Malakar" u="1"/>
        <s v="Shubhanjali Joshi" u="1"/>
        <s v="Shivji Prasad" u="1"/>
        <s v="Shephali Jain" u="1"/>
        <s v="Sheena Joseph" u="1"/>
        <s v="Sheeba Joseph" u="1"/>
        <s v="Shashikant Tiwari" u="1"/>
        <s v="Shankar Attendant" u="1"/>
        <s v="Shailendra Barge" u="1"/>
        <s v="Shailaja Kamal" u="1"/>
        <s v="Saroj Parita" u="1"/>
        <s v="Sapna Sharma" u="1"/>
        <s v="Santosh Kumar" u="1"/>
        <s v="Sanju Ramdas" u="1"/>
        <s v="Sanjiv Subherwal" u="1"/>
        <s v="Sanjay Hire" u="1"/>
        <s v="Salim" u="1"/>
        <s v="Sajid Naqvi" u="1"/>
        <s v="Roohi Haider" u="1"/>
        <s v="Roma Rastogi" u="1"/>
        <s v="Roli Bhatnagar" u="1"/>
        <s v="Rohit Nishchal" u="1"/>
        <s v="Ritu Bhatnagar" u="1"/>
        <s v="Renu Pratap" u="1"/>
        <s v="Rekha Jain " u="1"/>
        <s v="Rekha Gupta" u="1"/>
        <s v="Rekha Agarwal" u="1"/>
        <s v="Ravinder Kaur" u="1"/>
        <s v="Ravi Kumar" u="1"/>
        <s v="Rashmi Gajbe" u="1"/>
        <s v="Rashid" u="1"/>
        <s v="Ramji Prasad" u="1"/>
        <s v="Rakhi Jodhani" u="1"/>
        <s v="Rajshree Dhabekar" u="1"/>
        <s v="Raji Abraham" u="1"/>
        <s v="Rajesh Sharma" u="1"/>
        <s v="Rajesh Kumar" u="1"/>
        <s v="Rajendra Prasad" u="1"/>
        <s v="Rajendra Kumar" u="1"/>
        <s v="Rajendra Gupta" u="1"/>
        <s v="Rajeev Kumar" u="1"/>
        <s v="Rajeev Garg" u="1"/>
        <s v="Raj Kumar" u="1"/>
        <s v="Rachna Chauhan" u="1"/>
        <s v="Rachita Anupam" u="1"/>
        <s v="Rachel Mathew" u="1"/>
        <s v="Praveen Kumar" u="1"/>
        <s v="Prasannakumari S" u="1"/>
        <s v="Pramod Tiwari" u="1"/>
        <s v="Prabha Desikan" u="1"/>
        <s v="Partha Sarathi" u="1"/>
        <s v="Pankaj Shelkey" u="1"/>
        <s v="Owais Mohd" u="1"/>
        <s v="Omprakash O" u="1"/>
        <s v="Om Prakash" u="1"/>
        <s v="Nitin Bhatia" u="1"/>
        <s v="Nikita Panwalkar" u="1"/>
        <s v="Neeru Mehta" u="1"/>
        <s v="Neeraj Saxena" u="1"/>
        <s v="Narayan Singh" u="1"/>
        <s v="Nandu Kumar" u="1"/>
        <s v="Mukesh Nagar" u="1"/>
        <s v="Mubeen Khan" u="1"/>
        <s v="Mohd Rafi" u="1"/>
        <s v="Miny Mole" u="1"/>
        <s v="Mercy Thampi" u="1"/>
        <s v="Mehnaz Khan" u="1"/>
        <s v="Meena Zinjare" u="1"/>
        <s v="Masroor Adil" u="1"/>
        <s v="Manoj Kumar" u="1"/>
        <s v="ManjuTiwari Lab" u="1"/>
        <s v="Manjusha Sinha" u="1"/>
        <s v="Manisha Shrivastava" u="1"/>
        <s v="Mangal Singh" u="1"/>
        <s v="Lilly Lucy" u="1"/>
        <s v="Leena George" u="1"/>
        <s v="Kunj Bihari" u="1"/>
        <s v="Krishana Kumar" u="1"/>
        <s v="Kisun Sah" u="1"/>
        <s v="Kiran Khubchandani" u="1"/>
        <s v="Kavita Sharma" u="1"/>
        <s v="Kamini Tiwari" u="1"/>
        <s v="Kamini Kumar" u="1"/>
        <s v="Kalpana Agrawal" u="1"/>
        <s v="Kailash Nath" u="1"/>
        <s v="Kahkasha Parveen" u="1"/>
        <s v="Jyoti Tulsani" u="1"/>
        <s v="Julie S" u="1"/>
        <s v="John D'Costa" u="1"/>
        <s v="Jitendra Kumar" u="1"/>
        <s v="Janardan Mishra" u="1"/>
        <s v="Jairaj Vatham" u="1"/>
        <s v="Jagdish Chandra" u="1"/>
        <s v="Indra Singh" u="1"/>
        <s v="Indra Pal" u="1"/>
        <s v="Heeramani Choudhary" u="1"/>
        <s v="Hari Kumar" u="1"/>
        <s v="Dinesh Kumar" u="1"/>
        <s v="Deepika Nigam" u="1"/>
        <s v="Deepak Kumar" u="1"/>
        <s v="Daleep Singh" u="1"/>
        <s v="Bindu Nair" u="1"/>
        <s v="Bhagwat Singh" u="1"/>
        <s v="Azam" u="1"/>
        <s v="Atul Kumar" u="1"/>
        <s v="Ashok Mahto" u="1"/>
        <s v="Ashok Kumar" u="1"/>
        <s v="Ashish Kumar" u="1"/>
        <s v="Arun Kumar" u="1"/>
        <s v="Anubhuti Gupta" u="1"/>
        <s v="Anoop Raj" u="1"/>
        <s v="Anoop Narayan" u="1"/>
        <s v="Annu Latika" u="1"/>
        <s v="Anjali Sahay" u="1"/>
        <s v="Anjali Deoram" u="1"/>
        <s v="Anita Ghore" u="1"/>
        <s v="Anita Dixit" u="1"/>
        <s v="Anil Kumar" u="1"/>
        <s v="Anikuttan" u="1"/>
        <s v="Anamika Gupta" u="1"/>
        <s v="Afzal Husain" u="1"/>
        <s v="Abdul Hamid" u="1"/>
      </sharedItems>
    </cacheField>
    <cacheField name="Region" numFmtId="0">
      <sharedItems count="16">
        <s v="Dhaka"/>
        <s v="Chattogram"/>
        <s v="Khulna"/>
        <s v="Rajshahi"/>
        <s v="Sylhet"/>
        <s v="Barishal"/>
        <s v="Rangpur"/>
        <s v="Mymensingh"/>
        <s v="Mumbai" u="1"/>
        <s v="Delhi" u="1"/>
        <s v="Nagpur" u="1"/>
        <s v="Chennai" u="1"/>
        <s v="Pune" u="1"/>
        <s v="Patna" u="1"/>
        <s v="Ranchi" u="1"/>
        <s v="Surat" u="1"/>
      </sharedItems>
    </cacheField>
    <cacheField name="Day1" numFmtId="0">
      <sharedItems containsSemiMixedTypes="0" containsString="0" containsNumber="1" containsInteger="1" minValue="12" maxValue="99"/>
    </cacheField>
    <cacheField name="Day2" numFmtId="0">
      <sharedItems containsSemiMixedTypes="0" containsString="0" containsNumber="1" containsInteger="1" minValue="9" maxValue="92"/>
    </cacheField>
    <cacheField name="Day3" numFmtId="0">
      <sharedItems containsSemiMixedTypes="0" containsString="0" containsNumber="1" containsInteger="1" minValue="18" maxValue="96"/>
    </cacheField>
    <cacheField name="Day4" numFmtId="0">
      <sharedItems containsSemiMixedTypes="0" containsString="0" containsNumber="1" containsInteger="1" minValue="15" maxValue="98"/>
    </cacheField>
    <cacheField name="Day5" numFmtId="0">
      <sharedItems containsSemiMixedTypes="0" containsString="0" containsNumber="1" containsInteger="1" minValue="11" maxValue="99"/>
    </cacheField>
    <cacheField name="Total Sales" numFmtId="0">
      <sharedItems containsSemiMixedTypes="0" containsString="0" containsNumber="1" containsInteger="1" minValue="65" maxValue="476"/>
    </cacheField>
    <cacheField name="Target" numFmtId="0">
      <sharedItems containsSemiMixedTypes="0" containsString="0" containsNumber="1" containsInteger="1" minValue="500" maxValue="500"/>
    </cacheField>
    <cacheField name="Target Hit %" numFmtId="10">
      <sharedItems containsSemiMixedTypes="0" containsString="0" containsNumber="1" minValue="0.13" maxValue="0.95199999999999996"/>
    </cacheField>
    <cacheField name="Away From Target %" numFmtId="10">
      <sharedItems containsSemiMixedTypes="0" containsString="0" containsNumber="1" minValue="4.8000000000000043E-2" maxValue="0.8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BD-TCL001"/>
    <x v="0"/>
    <x v="0"/>
    <n v="85"/>
    <n v="92"/>
    <n v="91"/>
    <n v="88"/>
    <n v="90"/>
    <n v="446"/>
    <n v="500"/>
    <n v="0.89200000000000002"/>
    <n v="0.10799999999999998"/>
  </r>
  <r>
    <s v="BD-TCL002"/>
    <x v="1"/>
    <x v="1"/>
    <n v="22"/>
    <n v="15"/>
    <n v="21"/>
    <n v="19"/>
    <n v="20"/>
    <n v="97"/>
    <n v="500"/>
    <n v="0.19400000000000001"/>
    <n v="0.80600000000000005"/>
  </r>
  <r>
    <s v="BD-TCL003"/>
    <x v="2"/>
    <x v="2"/>
    <n v="55"/>
    <n v="48"/>
    <n v="62"/>
    <n v="59"/>
    <n v="50"/>
    <n v="274"/>
    <n v="500"/>
    <n v="0.54800000000000004"/>
    <n v="0.45199999999999996"/>
  </r>
  <r>
    <s v="BD-TCL004"/>
    <x v="3"/>
    <x v="3"/>
    <n v="88"/>
    <n v="81"/>
    <n v="85"/>
    <n v="83"/>
    <n v="89"/>
    <n v="426"/>
    <n v="500"/>
    <n v="0.85199999999999998"/>
    <n v="0.14800000000000002"/>
  </r>
  <r>
    <s v="BD-TCL005"/>
    <x v="4"/>
    <x v="4"/>
    <n v="45"/>
    <n v="39"/>
    <n v="51"/>
    <n v="48"/>
    <n v="42"/>
    <n v="225"/>
    <n v="500"/>
    <n v="0.45"/>
    <n v="0.55000000000000004"/>
  </r>
  <r>
    <s v="BD-TCL006"/>
    <x v="5"/>
    <x v="5"/>
    <n v="71"/>
    <n v="78"/>
    <n v="77"/>
    <n v="74"/>
    <n v="70"/>
    <n v="370"/>
    <n v="500"/>
    <n v="0.74"/>
    <n v="0.26"/>
  </r>
  <r>
    <s v="BD-TCL007"/>
    <x v="6"/>
    <x v="6"/>
    <n v="12"/>
    <n v="9"/>
    <n v="18"/>
    <n v="15"/>
    <n v="11"/>
    <n v="65"/>
    <n v="500"/>
    <n v="0.13"/>
    <n v="0.87"/>
  </r>
  <r>
    <s v="BD-TCL008"/>
    <x v="7"/>
    <x v="7"/>
    <n v="78"/>
    <n v="81"/>
    <n v="75"/>
    <n v="82"/>
    <n v="79"/>
    <n v="395"/>
    <n v="500"/>
    <n v="0.79"/>
    <n v="0.20999999999999996"/>
  </r>
  <r>
    <s v="BD-TCL009"/>
    <x v="8"/>
    <x v="0"/>
    <n v="81"/>
    <n v="85"/>
    <n v="85"/>
    <n v="88"/>
    <n v="82"/>
    <n v="421"/>
    <n v="500"/>
    <n v="0.84199999999999997"/>
    <n v="0.15800000000000003"/>
  </r>
  <r>
    <s v="BD-TCL010"/>
    <x v="9"/>
    <x v="1"/>
    <n v="37"/>
    <n v="32"/>
    <n v="35"/>
    <n v="31"/>
    <n v="38"/>
    <n v="173"/>
    <n v="500"/>
    <n v="0.34599999999999997"/>
    <n v="0.65400000000000003"/>
  </r>
  <r>
    <s v="BD-TCL011"/>
    <x v="10"/>
    <x v="2"/>
    <n v="88"/>
    <n v="85"/>
    <n v="93"/>
    <n v="90"/>
    <n v="87"/>
    <n v="443"/>
    <n v="500"/>
    <n v="0.88600000000000001"/>
    <n v="0.11399999999999999"/>
  </r>
  <r>
    <s v="BD-TCL012"/>
    <x v="11"/>
    <x v="3"/>
    <n v="23"/>
    <n v="26"/>
    <n v="20"/>
    <n v="28"/>
    <n v="24"/>
    <n v="121"/>
    <n v="500"/>
    <n v="0.24199999999999999"/>
    <n v="0.75800000000000001"/>
  </r>
  <r>
    <s v="BD-TCL013"/>
    <x v="12"/>
    <x v="4"/>
    <n v="68"/>
    <n v="65"/>
    <n v="72"/>
    <n v="70"/>
    <n v="69"/>
    <n v="344"/>
    <n v="500"/>
    <n v="0.68799999999999994"/>
    <n v="0.31200000000000006"/>
  </r>
  <r>
    <s v="BD-TCL014"/>
    <x v="13"/>
    <x v="5"/>
    <n v="85"/>
    <n v="82"/>
    <n v="80"/>
    <n v="88"/>
    <n v="86"/>
    <n v="421"/>
    <n v="500"/>
    <n v="0.84199999999999997"/>
    <n v="0.15800000000000003"/>
  </r>
  <r>
    <s v="BD-TCL015"/>
    <x v="14"/>
    <x v="6"/>
    <n v="18"/>
    <n v="15"/>
    <n v="23"/>
    <n v="20"/>
    <n v="17"/>
    <n v="93"/>
    <n v="500"/>
    <n v="0.186"/>
    <n v="0.81400000000000006"/>
  </r>
  <r>
    <s v="BD-TCL016"/>
    <x v="15"/>
    <x v="7"/>
    <n v="72"/>
    <n v="75"/>
    <n v="69"/>
    <n v="77"/>
    <n v="73"/>
    <n v="366"/>
    <n v="500"/>
    <n v="0.73199999999999998"/>
    <n v="0.26800000000000002"/>
  </r>
  <r>
    <s v="BD-TCL017"/>
    <x v="16"/>
    <x v="0"/>
    <n v="89"/>
    <n v="82"/>
    <n v="83"/>
    <n v="86"/>
    <n v="80"/>
    <n v="420"/>
    <n v="500"/>
    <n v="0.84"/>
    <n v="0.16000000000000003"/>
  </r>
  <r>
    <s v="BD-TCL018"/>
    <x v="17"/>
    <x v="1"/>
    <n v="40"/>
    <n v="38"/>
    <n v="48"/>
    <n v="45"/>
    <n v="42"/>
    <n v="213"/>
    <n v="500"/>
    <n v="0.42599999999999999"/>
    <n v="0.57400000000000007"/>
  </r>
  <r>
    <s v="BD-TCL019"/>
    <x v="18"/>
    <x v="2"/>
    <n v="70"/>
    <n v="77"/>
    <n v="76"/>
    <n v="73"/>
    <n v="79"/>
    <n v="375"/>
    <n v="500"/>
    <n v="0.75"/>
    <n v="0.25"/>
  </r>
  <r>
    <s v="BD-TCL020"/>
    <x v="19"/>
    <x v="3"/>
    <n v="29"/>
    <n v="22"/>
    <n v="26"/>
    <n v="24"/>
    <n v="20"/>
    <n v="121"/>
    <n v="500"/>
    <n v="0.24199999999999999"/>
    <n v="0.75800000000000001"/>
  </r>
  <r>
    <s v="BD-TCL021"/>
    <x v="20"/>
    <x v="0"/>
    <n v="75"/>
    <n v="82"/>
    <n v="81"/>
    <n v="78"/>
    <n v="80"/>
    <n v="396"/>
    <n v="500"/>
    <n v="0.79200000000000004"/>
    <n v="0.20799999999999996"/>
  </r>
  <r>
    <s v="BD-TCL022"/>
    <x v="21"/>
    <x v="1"/>
    <n v="32"/>
    <n v="25"/>
    <n v="31"/>
    <n v="29"/>
    <n v="30"/>
    <n v="147"/>
    <n v="500"/>
    <n v="0.29399999999999998"/>
    <n v="0.70599999999999996"/>
  </r>
  <r>
    <s v="BD-TCL023"/>
    <x v="22"/>
    <x v="2"/>
    <n v="65"/>
    <n v="58"/>
    <n v="68"/>
    <n v="69"/>
    <n v="60"/>
    <n v="320"/>
    <n v="500"/>
    <n v="0.64"/>
    <n v="0.36"/>
  </r>
  <r>
    <s v="BD-TCL024"/>
    <x v="23"/>
    <x v="3"/>
    <n v="98"/>
    <n v="91"/>
    <n v="95"/>
    <n v="93"/>
    <n v="99"/>
    <n v="476"/>
    <n v="500"/>
    <n v="0.95199999999999996"/>
    <n v="4.8000000000000043E-2"/>
  </r>
  <r>
    <s v="BD-TCL025"/>
    <x v="24"/>
    <x v="4"/>
    <n v="55"/>
    <n v="49"/>
    <n v="58"/>
    <n v="58"/>
    <n v="52"/>
    <n v="272"/>
    <n v="500"/>
    <n v="0.54400000000000004"/>
    <n v="0.45599999999999996"/>
  </r>
  <r>
    <s v="BD-TCL026"/>
    <x v="25"/>
    <x v="5"/>
    <n v="81"/>
    <n v="88"/>
    <n v="87"/>
    <n v="84"/>
    <n v="80"/>
    <n v="420"/>
    <n v="500"/>
    <n v="0.84"/>
    <n v="0.16000000000000003"/>
  </r>
  <r>
    <s v="BD-TCL027"/>
    <x v="26"/>
    <x v="6"/>
    <n v="17"/>
    <n v="19"/>
    <n v="28"/>
    <n v="25"/>
    <n v="21"/>
    <n v="110"/>
    <n v="500"/>
    <n v="0.22"/>
    <n v="0.78"/>
  </r>
  <r>
    <s v="BD-TCL028"/>
    <x v="27"/>
    <x v="7"/>
    <n v="78"/>
    <n v="81"/>
    <n v="75"/>
    <n v="82"/>
    <n v="79"/>
    <n v="395"/>
    <n v="500"/>
    <n v="0.79"/>
    <n v="0.20999999999999996"/>
  </r>
  <r>
    <s v="BD-TCL029"/>
    <x v="28"/>
    <x v="0"/>
    <n v="91"/>
    <n v="85"/>
    <n v="95"/>
    <n v="88"/>
    <n v="92"/>
    <n v="451"/>
    <n v="500"/>
    <n v="0.90200000000000002"/>
    <n v="9.7999999999999976E-2"/>
  </r>
  <r>
    <s v="BD-TCL030"/>
    <x v="29"/>
    <x v="1"/>
    <n v="47"/>
    <n v="42"/>
    <n v="45"/>
    <n v="41"/>
    <n v="48"/>
    <n v="223"/>
    <n v="500"/>
    <n v="0.44600000000000001"/>
    <n v="0.55400000000000005"/>
  </r>
  <r>
    <s v="BD-TCL031"/>
    <x v="30"/>
    <x v="2"/>
    <n v="78"/>
    <n v="75"/>
    <n v="83"/>
    <n v="80"/>
    <n v="77"/>
    <n v="393"/>
    <n v="500"/>
    <n v="0.78600000000000003"/>
    <n v="0.21399999999999997"/>
  </r>
  <r>
    <s v="BD-TCL032"/>
    <x v="31"/>
    <x v="3"/>
    <n v="33"/>
    <n v="36"/>
    <n v="30"/>
    <n v="38"/>
    <n v="34"/>
    <n v="161"/>
    <n v="500"/>
    <n v="0.32200000000000001"/>
    <n v="0.67799999999999994"/>
  </r>
  <r>
    <s v="BD-TCL033"/>
    <x v="32"/>
    <x v="4"/>
    <n v="78"/>
    <n v="75"/>
    <n v="82"/>
    <n v="80"/>
    <n v="79"/>
    <n v="394"/>
    <n v="500"/>
    <n v="0.78800000000000003"/>
    <n v="0.21199999999999997"/>
  </r>
  <r>
    <s v="BD-TCL034"/>
    <x v="33"/>
    <x v="5"/>
    <n v="95"/>
    <n v="92"/>
    <n v="90"/>
    <n v="98"/>
    <n v="96"/>
    <n v="471"/>
    <n v="500"/>
    <n v="0.94199999999999995"/>
    <n v="5.8000000000000052E-2"/>
  </r>
  <r>
    <s v="BD-TCL035"/>
    <x v="34"/>
    <x v="6"/>
    <n v="28"/>
    <n v="25"/>
    <n v="33"/>
    <n v="30"/>
    <n v="27"/>
    <n v="143"/>
    <n v="500"/>
    <n v="0.28599999999999998"/>
    <n v="0.71399999999999997"/>
  </r>
  <r>
    <s v="BD-TCL036"/>
    <x v="35"/>
    <x v="7"/>
    <n v="82"/>
    <n v="85"/>
    <n v="79"/>
    <n v="87"/>
    <n v="83"/>
    <n v="416"/>
    <n v="500"/>
    <n v="0.83199999999999996"/>
    <n v="0.16800000000000004"/>
  </r>
  <r>
    <s v="BD-TCL037"/>
    <x v="36"/>
    <x v="0"/>
    <n v="99"/>
    <n v="92"/>
    <n v="93"/>
    <n v="96"/>
    <n v="90"/>
    <n v="470"/>
    <n v="500"/>
    <n v="0.94"/>
    <n v="6.0000000000000053E-2"/>
  </r>
  <r>
    <s v="BD-TCL038"/>
    <x v="37"/>
    <x v="1"/>
    <n v="50"/>
    <n v="48"/>
    <n v="58"/>
    <n v="55"/>
    <n v="52"/>
    <n v="253"/>
    <n v="500"/>
    <n v="0.50600000000000001"/>
    <n v="0.49399999999999999"/>
  </r>
  <r>
    <s v="BD-TCL039"/>
    <x v="38"/>
    <x v="2"/>
    <n v="90"/>
    <n v="87"/>
    <n v="96"/>
    <n v="93"/>
    <n v="89"/>
    <n v="455"/>
    <n v="500"/>
    <n v="0.91"/>
    <n v="8.9999999999999969E-2"/>
  </r>
  <r>
    <s v="BD-TCL040"/>
    <x v="39"/>
    <x v="3"/>
    <n v="39"/>
    <n v="32"/>
    <n v="36"/>
    <n v="34"/>
    <n v="30"/>
    <n v="171"/>
    <n v="500"/>
    <n v="0.34200000000000003"/>
    <n v="0.65799999999999992"/>
  </r>
  <r>
    <s v="BD-TCL041"/>
    <x v="40"/>
    <x v="0"/>
    <n v="80"/>
    <n v="87"/>
    <n v="86"/>
    <n v="83"/>
    <n v="89"/>
    <n v="425"/>
    <n v="500"/>
    <n v="0.85"/>
    <n v="0.15000000000000002"/>
  </r>
  <r>
    <s v="BD-TCL042"/>
    <x v="41"/>
    <x v="1"/>
    <n v="29"/>
    <n v="22"/>
    <n v="26"/>
    <n v="24"/>
    <n v="20"/>
    <n v="121"/>
    <n v="500"/>
    <n v="0.24199999999999999"/>
    <n v="0.75800000000000001"/>
  </r>
  <r>
    <s v="BD-TCL043"/>
    <x v="42"/>
    <x v="2"/>
    <n v="75"/>
    <n v="82"/>
    <n v="81"/>
    <n v="78"/>
    <n v="80"/>
    <n v="396"/>
    <n v="500"/>
    <n v="0.79200000000000004"/>
    <n v="0.20799999999999996"/>
  </r>
  <r>
    <s v="BD-TCL044"/>
    <x v="43"/>
    <x v="3"/>
    <n v="32"/>
    <n v="25"/>
    <n v="31"/>
    <n v="29"/>
    <n v="30"/>
    <n v="147"/>
    <n v="500"/>
    <n v="0.29399999999999998"/>
    <n v="0.70599999999999996"/>
  </r>
  <r>
    <s v="BD-TCL045"/>
    <x v="44"/>
    <x v="4"/>
    <n v="65"/>
    <n v="58"/>
    <n v="68"/>
    <n v="69"/>
    <n v="60"/>
    <n v="320"/>
    <n v="500"/>
    <n v="0.64"/>
    <n v="0.36"/>
  </r>
  <r>
    <s v="BD-TCL046"/>
    <x v="45"/>
    <x v="5"/>
    <n v="98"/>
    <n v="91"/>
    <n v="95"/>
    <n v="93"/>
    <n v="99"/>
    <n v="476"/>
    <n v="500"/>
    <n v="0.95199999999999996"/>
    <n v="4.8000000000000043E-2"/>
  </r>
  <r>
    <s v="BD-TCL047"/>
    <x v="46"/>
    <x v="6"/>
    <n v="55"/>
    <n v="49"/>
    <n v="58"/>
    <n v="58"/>
    <n v="52"/>
    <n v="272"/>
    <n v="500"/>
    <n v="0.54400000000000004"/>
    <n v="0.45599999999999996"/>
  </r>
  <r>
    <s v="BD-TCL048"/>
    <x v="47"/>
    <x v="7"/>
    <n v="81"/>
    <n v="88"/>
    <n v="87"/>
    <n v="84"/>
    <n v="80"/>
    <n v="420"/>
    <n v="500"/>
    <n v="0.84"/>
    <n v="0.16000000000000003"/>
  </r>
  <r>
    <s v="BD-TCL049"/>
    <x v="48"/>
    <x v="0"/>
    <n v="17"/>
    <n v="19"/>
    <n v="28"/>
    <n v="25"/>
    <n v="21"/>
    <n v="110"/>
    <n v="500"/>
    <n v="0.22"/>
    <n v="0.78"/>
  </r>
  <r>
    <s v="BD-TCL050"/>
    <x v="49"/>
    <x v="1"/>
    <n v="78"/>
    <n v="81"/>
    <n v="75"/>
    <n v="82"/>
    <n v="79"/>
    <n v="395"/>
    <n v="500"/>
    <n v="0.79"/>
    <n v="0.20999999999999996"/>
  </r>
  <r>
    <s v="BD-TCL051"/>
    <x v="50"/>
    <x v="2"/>
    <n v="91"/>
    <n v="85"/>
    <n v="95"/>
    <n v="88"/>
    <n v="92"/>
    <n v="451"/>
    <n v="500"/>
    <n v="0.90200000000000002"/>
    <n v="9.7999999999999976E-2"/>
  </r>
  <r>
    <s v="BD-TCL052"/>
    <x v="51"/>
    <x v="3"/>
    <n v="47"/>
    <n v="42"/>
    <n v="45"/>
    <n v="41"/>
    <n v="48"/>
    <n v="223"/>
    <n v="500"/>
    <n v="0.44600000000000001"/>
    <n v="0.55400000000000005"/>
  </r>
  <r>
    <s v="BD-TCL053"/>
    <x v="52"/>
    <x v="4"/>
    <n v="78"/>
    <n v="75"/>
    <n v="83"/>
    <n v="80"/>
    <n v="77"/>
    <n v="393"/>
    <n v="500"/>
    <n v="0.78600000000000003"/>
    <n v="0.21399999999999997"/>
  </r>
  <r>
    <s v="BD-TCL054"/>
    <x v="53"/>
    <x v="5"/>
    <n v="33"/>
    <n v="36"/>
    <n v="30"/>
    <n v="38"/>
    <n v="34"/>
    <n v="161"/>
    <n v="500"/>
    <n v="0.32200000000000001"/>
    <n v="0.67799999999999994"/>
  </r>
  <r>
    <s v="BD-TCL055"/>
    <x v="54"/>
    <x v="6"/>
    <n v="78"/>
    <n v="75"/>
    <n v="82"/>
    <n v="80"/>
    <n v="79"/>
    <n v="394"/>
    <n v="500"/>
    <n v="0.78800000000000003"/>
    <n v="0.21199999999999997"/>
  </r>
  <r>
    <s v="BD-TCL056"/>
    <x v="55"/>
    <x v="7"/>
    <n v="95"/>
    <n v="92"/>
    <n v="90"/>
    <n v="98"/>
    <n v="96"/>
    <n v="471"/>
    <n v="500"/>
    <n v="0.94199999999999995"/>
    <n v="5.8000000000000052E-2"/>
  </r>
  <r>
    <s v="BD-TCL057"/>
    <x v="56"/>
    <x v="0"/>
    <n v="28"/>
    <n v="25"/>
    <n v="33"/>
    <n v="30"/>
    <n v="27"/>
    <n v="143"/>
    <n v="500"/>
    <n v="0.28599999999999998"/>
    <n v="0.71399999999999997"/>
  </r>
  <r>
    <s v="BD-TCL058"/>
    <x v="57"/>
    <x v="1"/>
    <n v="82"/>
    <n v="85"/>
    <n v="79"/>
    <n v="87"/>
    <n v="83"/>
    <n v="416"/>
    <n v="500"/>
    <n v="0.83199999999999996"/>
    <n v="0.16800000000000004"/>
  </r>
  <r>
    <s v="BD-TCL059"/>
    <x v="58"/>
    <x v="2"/>
    <n v="99"/>
    <n v="92"/>
    <n v="93"/>
    <n v="96"/>
    <n v="90"/>
    <n v="470"/>
    <n v="500"/>
    <n v="0.94"/>
    <n v="6.0000000000000053E-2"/>
  </r>
  <r>
    <s v="BD-TCL060"/>
    <x v="59"/>
    <x v="3"/>
    <n v="50"/>
    <n v="48"/>
    <n v="58"/>
    <n v="55"/>
    <n v="52"/>
    <n v="253"/>
    <n v="500"/>
    <n v="0.50600000000000001"/>
    <n v="0.49399999999999999"/>
  </r>
  <r>
    <s v="BD-TCL061"/>
    <x v="60"/>
    <x v="4"/>
    <n v="90"/>
    <n v="87"/>
    <n v="96"/>
    <n v="93"/>
    <n v="89"/>
    <n v="455"/>
    <n v="500"/>
    <n v="0.91"/>
    <n v="8.9999999999999969E-2"/>
  </r>
  <r>
    <s v="BD-TCL062"/>
    <x v="61"/>
    <x v="5"/>
    <n v="39"/>
    <n v="32"/>
    <n v="36"/>
    <n v="34"/>
    <n v="30"/>
    <n v="171"/>
    <n v="500"/>
    <n v="0.34200000000000003"/>
    <n v="0.65799999999999992"/>
  </r>
  <r>
    <s v="BD-TCL063"/>
    <x v="62"/>
    <x v="6"/>
    <n v="80"/>
    <n v="87"/>
    <n v="86"/>
    <n v="83"/>
    <n v="89"/>
    <n v="425"/>
    <n v="500"/>
    <n v="0.85"/>
    <n v="0.15000000000000002"/>
  </r>
  <r>
    <s v="BD-TCL064"/>
    <x v="63"/>
    <x v="7"/>
    <n v="29"/>
    <n v="22"/>
    <n v="26"/>
    <n v="24"/>
    <n v="20"/>
    <n v="121"/>
    <n v="500"/>
    <n v="0.24199999999999999"/>
    <n v="0.75800000000000001"/>
  </r>
  <r>
    <s v="BD-TCL065"/>
    <x v="64"/>
    <x v="0"/>
    <n v="75"/>
    <n v="82"/>
    <n v="81"/>
    <n v="78"/>
    <n v="80"/>
    <n v="396"/>
    <n v="500"/>
    <n v="0.79200000000000004"/>
    <n v="0.20799999999999996"/>
  </r>
  <r>
    <s v="BD-TCL066"/>
    <x v="65"/>
    <x v="1"/>
    <n v="32"/>
    <n v="25"/>
    <n v="31"/>
    <n v="29"/>
    <n v="30"/>
    <n v="147"/>
    <n v="500"/>
    <n v="0.29399999999999998"/>
    <n v="0.70599999999999996"/>
  </r>
  <r>
    <s v="BD-TCL067"/>
    <x v="66"/>
    <x v="2"/>
    <n v="65"/>
    <n v="58"/>
    <n v="68"/>
    <n v="69"/>
    <n v="60"/>
    <n v="320"/>
    <n v="500"/>
    <n v="0.64"/>
    <n v="0.36"/>
  </r>
  <r>
    <s v="BD-TCL068"/>
    <x v="67"/>
    <x v="3"/>
    <n v="98"/>
    <n v="91"/>
    <n v="95"/>
    <n v="93"/>
    <n v="99"/>
    <n v="476"/>
    <n v="500"/>
    <n v="0.95199999999999996"/>
    <n v="4.8000000000000043E-2"/>
  </r>
  <r>
    <s v="BD-TCL069"/>
    <x v="68"/>
    <x v="4"/>
    <n v="55"/>
    <n v="49"/>
    <n v="58"/>
    <n v="58"/>
    <n v="52"/>
    <n v="272"/>
    <n v="500"/>
    <n v="0.54400000000000004"/>
    <n v="0.45599999999999996"/>
  </r>
  <r>
    <s v="BD-TCL070"/>
    <x v="69"/>
    <x v="5"/>
    <n v="81"/>
    <n v="88"/>
    <n v="87"/>
    <n v="84"/>
    <n v="80"/>
    <n v="420"/>
    <n v="500"/>
    <n v="0.84"/>
    <n v="0.16000000000000003"/>
  </r>
  <r>
    <s v="BD-TCL071"/>
    <x v="70"/>
    <x v="6"/>
    <n v="17"/>
    <n v="19"/>
    <n v="28"/>
    <n v="25"/>
    <n v="21"/>
    <n v="110"/>
    <n v="500"/>
    <n v="0.22"/>
    <n v="0.78"/>
  </r>
  <r>
    <s v="BD-TCL072"/>
    <x v="71"/>
    <x v="7"/>
    <n v="78"/>
    <n v="81"/>
    <n v="75"/>
    <n v="82"/>
    <n v="79"/>
    <n v="395"/>
    <n v="500"/>
    <n v="0.79"/>
    <n v="0.20999999999999996"/>
  </r>
  <r>
    <s v="BD-TCL073"/>
    <x v="72"/>
    <x v="0"/>
    <n v="91"/>
    <n v="85"/>
    <n v="95"/>
    <n v="88"/>
    <n v="92"/>
    <n v="451"/>
    <n v="500"/>
    <n v="0.90200000000000002"/>
    <n v="9.7999999999999976E-2"/>
  </r>
  <r>
    <s v="BD-TCL074"/>
    <x v="73"/>
    <x v="1"/>
    <n v="47"/>
    <n v="42"/>
    <n v="45"/>
    <n v="41"/>
    <n v="48"/>
    <n v="223"/>
    <n v="500"/>
    <n v="0.44600000000000001"/>
    <n v="0.55400000000000005"/>
  </r>
  <r>
    <s v="BD-TCL075"/>
    <x v="74"/>
    <x v="2"/>
    <n v="78"/>
    <n v="75"/>
    <n v="83"/>
    <n v="80"/>
    <n v="77"/>
    <n v="393"/>
    <n v="500"/>
    <n v="0.78600000000000003"/>
    <n v="0.21399999999999997"/>
  </r>
  <r>
    <s v="BD-TCL076"/>
    <x v="75"/>
    <x v="3"/>
    <n v="33"/>
    <n v="36"/>
    <n v="30"/>
    <n v="38"/>
    <n v="34"/>
    <n v="161"/>
    <n v="500"/>
    <n v="0.32200000000000001"/>
    <n v="0.67799999999999994"/>
  </r>
  <r>
    <s v="BD-TCL077"/>
    <x v="76"/>
    <x v="4"/>
    <n v="78"/>
    <n v="75"/>
    <n v="82"/>
    <n v="80"/>
    <n v="79"/>
    <n v="394"/>
    <n v="500"/>
    <n v="0.78800000000000003"/>
    <n v="0.21199999999999997"/>
  </r>
  <r>
    <s v="BD-TCL078"/>
    <x v="77"/>
    <x v="5"/>
    <n v="95"/>
    <n v="92"/>
    <n v="90"/>
    <n v="98"/>
    <n v="96"/>
    <n v="471"/>
    <n v="500"/>
    <n v="0.94199999999999995"/>
    <n v="5.8000000000000052E-2"/>
  </r>
  <r>
    <s v="BD-TCL079"/>
    <x v="78"/>
    <x v="6"/>
    <n v="28"/>
    <n v="25"/>
    <n v="33"/>
    <n v="30"/>
    <n v="27"/>
    <n v="143"/>
    <n v="500"/>
    <n v="0.28599999999999998"/>
    <n v="0.71399999999999997"/>
  </r>
  <r>
    <s v="BD-TCL080"/>
    <x v="79"/>
    <x v="7"/>
    <n v="82"/>
    <n v="85"/>
    <n v="79"/>
    <n v="87"/>
    <n v="83"/>
    <n v="416"/>
    <n v="500"/>
    <n v="0.83199999999999996"/>
    <n v="0.16800000000000004"/>
  </r>
  <r>
    <s v="BD-TCL081"/>
    <x v="80"/>
    <x v="0"/>
    <n v="99"/>
    <n v="92"/>
    <n v="93"/>
    <n v="96"/>
    <n v="90"/>
    <n v="470"/>
    <n v="500"/>
    <n v="0.94"/>
    <n v="6.0000000000000053E-2"/>
  </r>
  <r>
    <s v="BD-TCL082"/>
    <x v="81"/>
    <x v="1"/>
    <n v="50"/>
    <n v="48"/>
    <n v="58"/>
    <n v="55"/>
    <n v="52"/>
    <n v="253"/>
    <n v="500"/>
    <n v="0.50600000000000001"/>
    <n v="0.49399999999999999"/>
  </r>
  <r>
    <s v="BD-TCL083"/>
    <x v="82"/>
    <x v="2"/>
    <n v="90"/>
    <n v="87"/>
    <n v="96"/>
    <n v="93"/>
    <n v="89"/>
    <n v="455"/>
    <n v="500"/>
    <n v="0.91"/>
    <n v="8.9999999999999969E-2"/>
  </r>
  <r>
    <s v="BD-TCL084"/>
    <x v="83"/>
    <x v="3"/>
    <n v="39"/>
    <n v="32"/>
    <n v="36"/>
    <n v="34"/>
    <n v="30"/>
    <n v="171"/>
    <n v="500"/>
    <n v="0.34200000000000003"/>
    <n v="0.65799999999999992"/>
  </r>
  <r>
    <s v="BD-TCL085"/>
    <x v="84"/>
    <x v="4"/>
    <n v="80"/>
    <n v="87"/>
    <n v="86"/>
    <n v="83"/>
    <n v="89"/>
    <n v="425"/>
    <n v="500"/>
    <n v="0.85"/>
    <n v="0.15000000000000002"/>
  </r>
  <r>
    <s v="BD-TCL086"/>
    <x v="85"/>
    <x v="5"/>
    <n v="29"/>
    <n v="22"/>
    <n v="26"/>
    <n v="24"/>
    <n v="20"/>
    <n v="121"/>
    <n v="500"/>
    <n v="0.24199999999999999"/>
    <n v="0.75800000000000001"/>
  </r>
  <r>
    <s v="BD-TCL087"/>
    <x v="86"/>
    <x v="6"/>
    <n v="75"/>
    <n v="82"/>
    <n v="81"/>
    <n v="78"/>
    <n v="80"/>
    <n v="396"/>
    <n v="500"/>
    <n v="0.79200000000000004"/>
    <n v="0.20799999999999996"/>
  </r>
  <r>
    <s v="BD-TCL088"/>
    <x v="87"/>
    <x v="7"/>
    <n v="32"/>
    <n v="25"/>
    <n v="31"/>
    <n v="29"/>
    <n v="30"/>
    <n v="147"/>
    <n v="500"/>
    <n v="0.29399999999999998"/>
    <n v="0.70599999999999996"/>
  </r>
  <r>
    <s v="BD-TCL089"/>
    <x v="88"/>
    <x v="0"/>
    <n v="65"/>
    <n v="58"/>
    <n v="68"/>
    <n v="69"/>
    <n v="60"/>
    <n v="320"/>
    <n v="500"/>
    <n v="0.64"/>
    <n v="0.36"/>
  </r>
  <r>
    <s v="BD-TCL090"/>
    <x v="89"/>
    <x v="1"/>
    <n v="98"/>
    <n v="91"/>
    <n v="95"/>
    <n v="93"/>
    <n v="99"/>
    <n v="476"/>
    <n v="500"/>
    <n v="0.95199999999999996"/>
    <n v="4.8000000000000043E-2"/>
  </r>
  <r>
    <s v="BD-TCL091"/>
    <x v="90"/>
    <x v="2"/>
    <n v="55"/>
    <n v="49"/>
    <n v="58"/>
    <n v="58"/>
    <n v="52"/>
    <n v="272"/>
    <n v="500"/>
    <n v="0.54400000000000004"/>
    <n v="0.45599999999999996"/>
  </r>
  <r>
    <s v="BD-TCL092"/>
    <x v="91"/>
    <x v="3"/>
    <n v="81"/>
    <n v="88"/>
    <n v="87"/>
    <n v="84"/>
    <n v="80"/>
    <n v="420"/>
    <n v="500"/>
    <n v="0.84"/>
    <n v="0.16000000000000003"/>
  </r>
  <r>
    <s v="BD-TCL093"/>
    <x v="92"/>
    <x v="4"/>
    <n v="17"/>
    <n v="19"/>
    <n v="28"/>
    <n v="25"/>
    <n v="21"/>
    <n v="110"/>
    <n v="500"/>
    <n v="0.22"/>
    <n v="0.78"/>
  </r>
  <r>
    <s v="BD-TCL094"/>
    <x v="93"/>
    <x v="5"/>
    <n v="78"/>
    <n v="81"/>
    <n v="75"/>
    <n v="82"/>
    <n v="79"/>
    <n v="395"/>
    <n v="500"/>
    <n v="0.79"/>
    <n v="0.20999999999999996"/>
  </r>
  <r>
    <s v="BD-TCL095"/>
    <x v="94"/>
    <x v="6"/>
    <n v="91"/>
    <n v="85"/>
    <n v="95"/>
    <n v="88"/>
    <n v="92"/>
    <n v="451"/>
    <n v="500"/>
    <n v="0.90200000000000002"/>
    <n v="9.7999999999999976E-2"/>
  </r>
  <r>
    <s v="BD-TCL096"/>
    <x v="95"/>
    <x v="7"/>
    <n v="47"/>
    <n v="42"/>
    <n v="45"/>
    <n v="41"/>
    <n v="48"/>
    <n v="223"/>
    <n v="500"/>
    <n v="0.44600000000000001"/>
    <n v="0.55400000000000005"/>
  </r>
  <r>
    <s v="BD-TCL097"/>
    <x v="96"/>
    <x v="0"/>
    <n v="78"/>
    <n v="75"/>
    <n v="83"/>
    <n v="80"/>
    <n v="77"/>
    <n v="393"/>
    <n v="500"/>
    <n v="0.78600000000000003"/>
    <n v="0.21399999999999997"/>
  </r>
  <r>
    <s v="BD-TCL098"/>
    <x v="97"/>
    <x v="1"/>
    <n v="33"/>
    <n v="36"/>
    <n v="30"/>
    <n v="38"/>
    <n v="34"/>
    <n v="161"/>
    <n v="500"/>
    <n v="0.32200000000000001"/>
    <n v="0.67799999999999994"/>
  </r>
  <r>
    <s v="BD-TCL099"/>
    <x v="98"/>
    <x v="2"/>
    <n v="78"/>
    <n v="75"/>
    <n v="82"/>
    <n v="80"/>
    <n v="79"/>
    <n v="394"/>
    <n v="500"/>
    <n v="0.78800000000000003"/>
    <n v="0.21199999999999997"/>
  </r>
  <r>
    <s v="BD-TCL100"/>
    <x v="99"/>
    <x v="3"/>
    <n v="95"/>
    <n v="92"/>
    <n v="90"/>
    <n v="98"/>
    <n v="96"/>
    <n v="471"/>
    <n v="500"/>
    <n v="0.94199999999999995"/>
    <n v="5.8000000000000052E-2"/>
  </r>
  <r>
    <s v="BD-TCL101"/>
    <x v="100"/>
    <x v="4"/>
    <n v="28"/>
    <n v="25"/>
    <n v="33"/>
    <n v="30"/>
    <n v="27"/>
    <n v="143"/>
    <n v="500"/>
    <n v="0.28599999999999998"/>
    <n v="0.71399999999999997"/>
  </r>
  <r>
    <s v="BD-TCL102"/>
    <x v="101"/>
    <x v="5"/>
    <n v="82"/>
    <n v="85"/>
    <n v="79"/>
    <n v="87"/>
    <n v="83"/>
    <n v="416"/>
    <n v="500"/>
    <n v="0.83199999999999996"/>
    <n v="0.16800000000000004"/>
  </r>
  <r>
    <s v="BD-TCL103"/>
    <x v="102"/>
    <x v="6"/>
    <n v="99"/>
    <n v="92"/>
    <n v="93"/>
    <n v="96"/>
    <n v="90"/>
    <n v="470"/>
    <n v="500"/>
    <n v="0.94"/>
    <n v="6.0000000000000053E-2"/>
  </r>
  <r>
    <s v="BD-TCL104"/>
    <x v="103"/>
    <x v="7"/>
    <n v="50"/>
    <n v="48"/>
    <n v="58"/>
    <n v="55"/>
    <n v="52"/>
    <n v="253"/>
    <n v="500"/>
    <n v="0.50600000000000001"/>
    <n v="0.49399999999999999"/>
  </r>
  <r>
    <s v="BD-TCL105"/>
    <x v="104"/>
    <x v="0"/>
    <n v="90"/>
    <n v="87"/>
    <n v="96"/>
    <n v="93"/>
    <n v="89"/>
    <n v="455"/>
    <n v="500"/>
    <n v="0.91"/>
    <n v="8.9999999999999969E-2"/>
  </r>
  <r>
    <s v="BD-TCL106"/>
    <x v="53"/>
    <x v="1"/>
    <n v="39"/>
    <n v="32"/>
    <n v="36"/>
    <n v="34"/>
    <n v="30"/>
    <n v="171"/>
    <n v="500"/>
    <n v="0.34200000000000003"/>
    <n v="0.65799999999999992"/>
  </r>
  <r>
    <s v="BD-TCL107"/>
    <x v="105"/>
    <x v="2"/>
    <n v="80"/>
    <n v="87"/>
    <n v="86"/>
    <n v="83"/>
    <n v="89"/>
    <n v="425"/>
    <n v="500"/>
    <n v="0.85"/>
    <n v="0.15000000000000002"/>
  </r>
  <r>
    <s v="BD-TCL108"/>
    <x v="106"/>
    <x v="3"/>
    <n v="29"/>
    <n v="22"/>
    <n v="26"/>
    <n v="24"/>
    <n v="20"/>
    <n v="121"/>
    <n v="500"/>
    <n v="0.24199999999999999"/>
    <n v="0.75800000000000001"/>
  </r>
  <r>
    <s v="BD-TCL109"/>
    <x v="107"/>
    <x v="4"/>
    <n v="75"/>
    <n v="82"/>
    <n v="81"/>
    <n v="78"/>
    <n v="80"/>
    <n v="396"/>
    <n v="500"/>
    <n v="0.79200000000000004"/>
    <n v="0.20799999999999996"/>
  </r>
  <r>
    <s v="BD-TCL110"/>
    <x v="108"/>
    <x v="5"/>
    <n v="32"/>
    <n v="25"/>
    <n v="31"/>
    <n v="29"/>
    <n v="30"/>
    <n v="147"/>
    <n v="500"/>
    <n v="0.29399999999999998"/>
    <n v="0.70599999999999996"/>
  </r>
  <r>
    <s v="BD-TCL111"/>
    <x v="109"/>
    <x v="6"/>
    <n v="65"/>
    <n v="58"/>
    <n v="68"/>
    <n v="69"/>
    <n v="60"/>
    <n v="320"/>
    <n v="500"/>
    <n v="0.64"/>
    <n v="0.36"/>
  </r>
  <r>
    <s v="BD-TCL112"/>
    <x v="110"/>
    <x v="7"/>
    <n v="98"/>
    <n v="91"/>
    <n v="95"/>
    <n v="93"/>
    <n v="99"/>
    <n v="476"/>
    <n v="500"/>
    <n v="0.95199999999999996"/>
    <n v="4.8000000000000043E-2"/>
  </r>
  <r>
    <s v="BD-TCL113"/>
    <x v="111"/>
    <x v="0"/>
    <n v="55"/>
    <n v="49"/>
    <n v="58"/>
    <n v="58"/>
    <n v="52"/>
    <n v="272"/>
    <n v="500"/>
    <n v="0.54400000000000004"/>
    <n v="0.45599999999999996"/>
  </r>
  <r>
    <s v="BD-TCL114"/>
    <x v="112"/>
    <x v="1"/>
    <n v="81"/>
    <n v="88"/>
    <n v="87"/>
    <n v="84"/>
    <n v="80"/>
    <n v="420"/>
    <n v="500"/>
    <n v="0.84"/>
    <n v="0.16000000000000003"/>
  </r>
  <r>
    <s v="BD-TCL115"/>
    <x v="113"/>
    <x v="2"/>
    <n v="17"/>
    <n v="19"/>
    <n v="28"/>
    <n v="25"/>
    <n v="21"/>
    <n v="110"/>
    <n v="500"/>
    <n v="0.22"/>
    <n v="0.78"/>
  </r>
  <r>
    <s v="BD-TCL116"/>
    <x v="114"/>
    <x v="3"/>
    <n v="78"/>
    <n v="81"/>
    <n v="75"/>
    <n v="82"/>
    <n v="79"/>
    <n v="395"/>
    <n v="500"/>
    <n v="0.79"/>
    <n v="0.20999999999999996"/>
  </r>
  <r>
    <s v="BD-TCL117"/>
    <x v="115"/>
    <x v="4"/>
    <n v="91"/>
    <n v="85"/>
    <n v="95"/>
    <n v="88"/>
    <n v="92"/>
    <n v="451"/>
    <n v="500"/>
    <n v="0.90200000000000002"/>
    <n v="9.7999999999999976E-2"/>
  </r>
  <r>
    <s v="BD-TCL118"/>
    <x v="116"/>
    <x v="5"/>
    <n v="47"/>
    <n v="42"/>
    <n v="45"/>
    <n v="41"/>
    <n v="48"/>
    <n v="223"/>
    <n v="500"/>
    <n v="0.44600000000000001"/>
    <n v="0.55400000000000005"/>
  </r>
  <r>
    <s v="BD-TCL119"/>
    <x v="117"/>
    <x v="6"/>
    <n v="78"/>
    <n v="75"/>
    <n v="83"/>
    <n v="80"/>
    <n v="77"/>
    <n v="393"/>
    <n v="500"/>
    <n v="0.78600000000000003"/>
    <n v="0.21399999999999997"/>
  </r>
  <r>
    <s v="BD-TCL120"/>
    <x v="118"/>
    <x v="7"/>
    <n v="33"/>
    <n v="36"/>
    <n v="30"/>
    <n v="38"/>
    <n v="34"/>
    <n v="161"/>
    <n v="500"/>
    <n v="0.32200000000000001"/>
    <n v="0.67799999999999994"/>
  </r>
  <r>
    <s v="BD-TCL121"/>
    <x v="119"/>
    <x v="0"/>
    <n v="78"/>
    <n v="75"/>
    <n v="82"/>
    <n v="80"/>
    <n v="79"/>
    <n v="394"/>
    <n v="500"/>
    <n v="0.78800000000000003"/>
    <n v="0.21199999999999997"/>
  </r>
  <r>
    <s v="BD-TCL122"/>
    <x v="120"/>
    <x v="1"/>
    <n v="95"/>
    <n v="92"/>
    <n v="90"/>
    <n v="98"/>
    <n v="96"/>
    <n v="471"/>
    <n v="500"/>
    <n v="0.94199999999999995"/>
    <n v="5.8000000000000052E-2"/>
  </r>
  <r>
    <s v="BD-TCL123"/>
    <x v="121"/>
    <x v="2"/>
    <n v="28"/>
    <n v="25"/>
    <n v="33"/>
    <n v="30"/>
    <n v="27"/>
    <n v="143"/>
    <n v="500"/>
    <n v="0.28599999999999998"/>
    <n v="0.71399999999999997"/>
  </r>
  <r>
    <s v="BD-TCL124"/>
    <x v="122"/>
    <x v="3"/>
    <n v="82"/>
    <n v="85"/>
    <n v="79"/>
    <n v="87"/>
    <n v="83"/>
    <n v="416"/>
    <n v="500"/>
    <n v="0.83199999999999996"/>
    <n v="0.16800000000000004"/>
  </r>
  <r>
    <s v="BD-TCL125"/>
    <x v="123"/>
    <x v="4"/>
    <n v="99"/>
    <n v="92"/>
    <n v="93"/>
    <n v="96"/>
    <n v="90"/>
    <n v="470"/>
    <n v="500"/>
    <n v="0.94"/>
    <n v="6.0000000000000053E-2"/>
  </r>
  <r>
    <s v="BD-TCL126"/>
    <x v="124"/>
    <x v="5"/>
    <n v="50"/>
    <n v="48"/>
    <n v="58"/>
    <n v="55"/>
    <n v="52"/>
    <n v="253"/>
    <n v="500"/>
    <n v="0.50600000000000001"/>
    <n v="0.49399999999999999"/>
  </r>
  <r>
    <s v="BD-TCL127"/>
    <x v="125"/>
    <x v="6"/>
    <n v="90"/>
    <n v="87"/>
    <n v="96"/>
    <n v="93"/>
    <n v="89"/>
    <n v="455"/>
    <n v="500"/>
    <n v="0.91"/>
    <n v="8.9999999999999969E-2"/>
  </r>
  <r>
    <s v="BD-TCL128"/>
    <x v="126"/>
    <x v="7"/>
    <n v="39"/>
    <n v="32"/>
    <n v="36"/>
    <n v="34"/>
    <n v="30"/>
    <n v="171"/>
    <n v="500"/>
    <n v="0.34200000000000003"/>
    <n v="0.65799999999999992"/>
  </r>
  <r>
    <s v="BD-TCL129"/>
    <x v="127"/>
    <x v="0"/>
    <n v="80"/>
    <n v="87"/>
    <n v="86"/>
    <n v="83"/>
    <n v="89"/>
    <n v="425"/>
    <n v="500"/>
    <n v="0.85"/>
    <n v="0.15000000000000002"/>
  </r>
  <r>
    <s v="BD-TCL130"/>
    <x v="128"/>
    <x v="1"/>
    <n v="29"/>
    <n v="22"/>
    <n v="26"/>
    <n v="24"/>
    <n v="20"/>
    <n v="121"/>
    <n v="500"/>
    <n v="0.24199999999999999"/>
    <n v="0.75800000000000001"/>
  </r>
  <r>
    <s v="BD-TCL131"/>
    <x v="129"/>
    <x v="2"/>
    <n v="75"/>
    <n v="82"/>
    <n v="81"/>
    <n v="78"/>
    <n v="80"/>
    <n v="396"/>
    <n v="500"/>
    <n v="0.79200000000000004"/>
    <n v="0.20799999999999996"/>
  </r>
  <r>
    <s v="BD-TCL132"/>
    <x v="130"/>
    <x v="3"/>
    <n v="32"/>
    <n v="25"/>
    <n v="31"/>
    <n v="29"/>
    <n v="30"/>
    <n v="147"/>
    <n v="500"/>
    <n v="0.29399999999999998"/>
    <n v="0.70599999999999996"/>
  </r>
  <r>
    <s v="BD-TCL133"/>
    <x v="131"/>
    <x v="4"/>
    <n v="65"/>
    <n v="58"/>
    <n v="68"/>
    <n v="69"/>
    <n v="60"/>
    <n v="320"/>
    <n v="500"/>
    <n v="0.64"/>
    <n v="0.36"/>
  </r>
  <r>
    <s v="BD-TCL134"/>
    <x v="132"/>
    <x v="5"/>
    <n v="98"/>
    <n v="91"/>
    <n v="95"/>
    <n v="93"/>
    <n v="99"/>
    <n v="476"/>
    <n v="500"/>
    <n v="0.95199999999999996"/>
    <n v="4.8000000000000043E-2"/>
  </r>
  <r>
    <s v="BD-TCL135"/>
    <x v="133"/>
    <x v="6"/>
    <n v="55"/>
    <n v="49"/>
    <n v="58"/>
    <n v="58"/>
    <n v="52"/>
    <n v="272"/>
    <n v="500"/>
    <n v="0.54400000000000004"/>
    <n v="0.45599999999999996"/>
  </r>
  <r>
    <s v="BD-TCL136"/>
    <x v="134"/>
    <x v="7"/>
    <n v="81"/>
    <n v="88"/>
    <n v="87"/>
    <n v="84"/>
    <n v="80"/>
    <n v="420"/>
    <n v="500"/>
    <n v="0.84"/>
    <n v="0.16000000000000003"/>
  </r>
  <r>
    <s v="BD-TCL137"/>
    <x v="135"/>
    <x v="0"/>
    <n v="17"/>
    <n v="19"/>
    <n v="28"/>
    <n v="25"/>
    <n v="21"/>
    <n v="110"/>
    <n v="500"/>
    <n v="0.22"/>
    <n v="0.78"/>
  </r>
  <r>
    <s v="BD-TCL138"/>
    <x v="136"/>
    <x v="1"/>
    <n v="78"/>
    <n v="81"/>
    <n v="75"/>
    <n v="82"/>
    <n v="79"/>
    <n v="395"/>
    <n v="500"/>
    <n v="0.79"/>
    <n v="0.20999999999999996"/>
  </r>
  <r>
    <s v="BD-TCL139"/>
    <x v="137"/>
    <x v="2"/>
    <n v="91"/>
    <n v="85"/>
    <n v="95"/>
    <n v="88"/>
    <n v="92"/>
    <n v="451"/>
    <n v="500"/>
    <n v="0.90200000000000002"/>
    <n v="9.7999999999999976E-2"/>
  </r>
  <r>
    <s v="BD-TCL140"/>
    <x v="138"/>
    <x v="3"/>
    <n v="47"/>
    <n v="42"/>
    <n v="45"/>
    <n v="41"/>
    <n v="48"/>
    <n v="223"/>
    <n v="500"/>
    <n v="0.44600000000000001"/>
    <n v="0.55400000000000005"/>
  </r>
  <r>
    <s v="BD-TCL141"/>
    <x v="139"/>
    <x v="4"/>
    <n v="78"/>
    <n v="75"/>
    <n v="83"/>
    <n v="80"/>
    <n v="77"/>
    <n v="393"/>
    <n v="500"/>
    <n v="0.78600000000000003"/>
    <n v="0.2139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1433B2-D685-4383-8B24-99591BA196A5}"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G3:H9"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4"/>
        <item m="1" x="267"/>
        <item m="1" x="142"/>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0"/>
        <item m="1" x="200"/>
        <item m="1" x="199"/>
        <item m="1" x="198"/>
        <item m="1" x="197"/>
        <item m="1" x="196"/>
        <item m="1" x="195"/>
        <item m="1" x="194"/>
        <item m="1" x="193"/>
        <item m="1" x="192"/>
        <item m="1" x="191"/>
        <item m="1" x="190"/>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3"/>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items count="17">
        <item h="1" x="5"/>
        <item x="1"/>
        <item h="1" m="1" x="11"/>
        <item h="1" m="1" x="9"/>
        <item h="1" x="0"/>
        <item h="1" x="2"/>
        <item h="1" m="1" x="8"/>
        <item h="1" x="7"/>
        <item h="1" m="1" x="10"/>
        <item h="1" m="1" x="13"/>
        <item h="1" m="1" x="12"/>
        <item h="1" x="3"/>
        <item h="1" m="1" x="14"/>
        <item h="1" x="6"/>
        <item h="1" m="1" x="15"/>
        <item h="1" x="4"/>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90"/>
    </i>
    <i>
      <x v="198"/>
    </i>
    <i>
      <x v="230"/>
    </i>
    <i>
      <x v="253"/>
    </i>
    <i>
      <x v="261"/>
    </i>
    <i>
      <x v="277"/>
    </i>
  </rowItems>
  <colItems count="1">
    <i/>
  </colItems>
  <dataFields count="1">
    <dataField name="Target Hit % wise" fld="10" baseField="1" baseItem="4" numFmtId="10"/>
  </dataFields>
  <chartFormats count="21">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16"/>
          </reference>
        </references>
      </pivotArea>
    </chartFormat>
    <chartFormat chart="4" format="2">
      <pivotArea type="data" outline="0" fieldPosition="0">
        <references count="2">
          <reference field="4294967294" count="1" selected="0">
            <x v="0"/>
          </reference>
          <reference field="1" count="1" selected="0">
            <x v="32"/>
          </reference>
        </references>
      </pivotArea>
    </chartFormat>
    <chartFormat chart="4" format="3">
      <pivotArea type="data" outline="0" fieldPosition="0">
        <references count="2">
          <reference field="4294967294" count="1" selected="0">
            <x v="0"/>
          </reference>
          <reference field="1" count="1" selected="0">
            <x v="64"/>
          </reference>
        </references>
      </pivotArea>
    </chartFormat>
    <chartFormat chart="4" format="4">
      <pivotArea type="data" outline="0" fieldPosition="0">
        <references count="2">
          <reference field="4294967294" count="1" selected="0">
            <x v="0"/>
          </reference>
          <reference field="1" count="1" selected="0">
            <x v="129"/>
          </reference>
        </references>
      </pivotArea>
    </chartFormat>
    <chartFormat chart="4" format="5">
      <pivotArea type="data" outline="0" fieldPosition="0">
        <references count="2">
          <reference field="4294967294" count="1" selected="0">
            <x v="0"/>
          </reference>
          <reference field="1" count="1" selected="0">
            <x v="137"/>
          </reference>
        </references>
      </pivotArea>
    </chartFormat>
    <chartFormat chart="4" format="6">
      <pivotArea type="data" outline="0" fieldPosition="0">
        <references count="2">
          <reference field="4294967294" count="1" selected="0">
            <x v="0"/>
          </reference>
          <reference field="1" count="1" selected="0">
            <x v="3"/>
          </reference>
        </references>
      </pivotArea>
    </chartFormat>
    <chartFormat chart="4" format="7">
      <pivotArea type="data" outline="0" fieldPosition="0">
        <references count="2">
          <reference field="4294967294" count="1" selected="0">
            <x v="0"/>
          </reference>
          <reference field="1" count="1" selected="0">
            <x v="15"/>
          </reference>
        </references>
      </pivotArea>
    </chartFormat>
    <chartFormat chart="4" format="8">
      <pivotArea type="data" outline="0" fieldPosition="0">
        <references count="2">
          <reference field="4294967294" count="1" selected="0">
            <x v="0"/>
          </reference>
          <reference field="1" count="1" selected="0">
            <x v="31"/>
          </reference>
        </references>
      </pivotArea>
    </chartFormat>
    <chartFormat chart="4" format="9">
      <pivotArea type="data" outline="0" fieldPosition="0">
        <references count="2">
          <reference field="4294967294" count="1" selected="0">
            <x v="0"/>
          </reference>
          <reference field="1" count="1" selected="0">
            <x v="59"/>
          </reference>
        </references>
      </pivotArea>
    </chartFormat>
    <chartFormat chart="4" format="10">
      <pivotArea type="data" outline="0" fieldPosition="0">
        <references count="2">
          <reference field="4294967294" count="1" selected="0">
            <x v="0"/>
          </reference>
          <reference field="1" count="1" selected="0">
            <x v="79"/>
          </reference>
        </references>
      </pivotArea>
    </chartFormat>
    <chartFormat chart="4" format="11">
      <pivotArea type="data" outline="0" fieldPosition="0">
        <references count="2">
          <reference field="4294967294" count="1" selected="0">
            <x v="0"/>
          </reference>
          <reference field="1" count="1" selected="0">
            <x v="8"/>
          </reference>
        </references>
      </pivotArea>
    </chartFormat>
    <chartFormat chart="4" format="12">
      <pivotArea type="data" outline="0" fieldPosition="0">
        <references count="2">
          <reference field="4294967294" count="1" selected="0">
            <x v="0"/>
          </reference>
          <reference field="1" count="1" selected="0">
            <x v="58"/>
          </reference>
        </references>
      </pivotArea>
    </chartFormat>
    <chartFormat chart="4" format="13">
      <pivotArea type="data" outline="0" fieldPosition="0">
        <references count="2">
          <reference field="4294967294" count="1" selected="0">
            <x v="0"/>
          </reference>
          <reference field="1" count="1" selected="0">
            <x v="107"/>
          </reference>
        </references>
      </pivotArea>
    </chartFormat>
    <chartFormat chart="4" format="14">
      <pivotArea type="data" outline="0" fieldPosition="0">
        <references count="2">
          <reference field="4294967294" count="1" selected="0">
            <x v="0"/>
          </reference>
          <reference field="1" count="1" selected="0">
            <x v="115"/>
          </reference>
        </references>
      </pivotArea>
    </chartFormat>
    <chartFormat chart="4" format="15">
      <pivotArea type="data" outline="0" fieldPosition="0">
        <references count="2">
          <reference field="4294967294" count="1" selected="0">
            <x v="0"/>
          </reference>
          <reference field="1" count="1" selected="0">
            <x v="123"/>
          </reference>
        </references>
      </pivotArea>
    </chartFormat>
    <chartFormat chart="4" format="16">
      <pivotArea type="data" outline="0" fieldPosition="0">
        <references count="2">
          <reference field="4294967294" count="1" selected="0">
            <x v="0"/>
          </reference>
          <reference field="1" count="1" selected="0">
            <x v="169"/>
          </reference>
        </references>
      </pivotArea>
    </chartFormat>
    <chartFormat chart="4" format="17">
      <pivotArea type="data" outline="0" fieldPosition="0">
        <references count="2">
          <reference field="4294967294" count="1" selected="0">
            <x v="0"/>
          </reference>
          <reference field="1" count="1" selected="0">
            <x v="177"/>
          </reference>
        </references>
      </pivotArea>
    </chartFormat>
    <chartFormat chart="4" format="18">
      <pivotArea type="data" outline="0" fieldPosition="0">
        <references count="2">
          <reference field="4294967294" count="1" selected="0">
            <x v="0"/>
          </reference>
          <reference field="1" count="1" selected="0">
            <x v="213"/>
          </reference>
        </references>
      </pivotArea>
    </chartFormat>
    <chartFormat chart="4" format="19">
      <pivotArea type="data" outline="0" fieldPosition="0">
        <references count="2">
          <reference field="4294967294" count="1" selected="0">
            <x v="0"/>
          </reference>
          <reference field="1" count="1" selected="0">
            <x v="221"/>
          </reference>
        </references>
      </pivotArea>
    </chartFormat>
    <chartFormat chart="4" format="20">
      <pivotArea type="data" outline="0" fieldPosition="0">
        <references count="2">
          <reference field="4294967294" count="1" selected="0">
            <x v="0"/>
          </reference>
          <reference field="1" count="1" selected="0">
            <x v="245"/>
          </reference>
        </references>
      </pivotArea>
    </chartFormat>
  </chartFormats>
  <pivotTableStyleInfo name="PivotStyleDark1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728048-51A8-4ABA-A47D-006E0BCE6F3D}"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ascending">
      <items count="282">
        <item m="1" x="280"/>
        <item x="85"/>
        <item x="126"/>
        <item x="45"/>
        <item x="84"/>
        <item x="52"/>
        <item m="1" x="279"/>
        <item x="92"/>
        <item x="62"/>
        <item x="116"/>
        <item x="37"/>
        <item x="0"/>
        <item m="1" x="278"/>
        <item m="1" x="277"/>
        <item m="1" x="276"/>
        <item m="1" x="275"/>
        <item m="1" x="274"/>
        <item m="1" x="273"/>
        <item m="1" x="272"/>
        <item m="1" x="271"/>
        <item m="1" x="270"/>
        <item m="1" x="269"/>
        <item m="1" x="268"/>
        <item m="1" x="144"/>
        <item x="23"/>
        <item x="134"/>
        <item m="1" x="267"/>
        <item m="1" x="142"/>
        <item x="103"/>
        <item m="1" x="266"/>
        <item m="1" x="265"/>
        <item m="1" x="264"/>
        <item x="130"/>
        <item m="1" x="263"/>
        <item x="123"/>
        <item m="1" x="262"/>
        <item x="120"/>
        <item x="53"/>
        <item x="75"/>
        <item m="1" x="261"/>
        <item m="1" x="260"/>
        <item x="32"/>
        <item x="90"/>
        <item m="1" x="259"/>
        <item m="1" x="258"/>
        <item m="1" x="257"/>
        <item x="137"/>
        <item x="96"/>
        <item m="1" x="256"/>
        <item x="16"/>
        <item x="27"/>
        <item x="138"/>
        <item x="1"/>
        <item x="124"/>
        <item x="34"/>
        <item x="36"/>
        <item x="73"/>
        <item x="48"/>
        <item x="70"/>
        <item x="127"/>
        <item x="99"/>
        <item x="115"/>
        <item m="1" x="255"/>
        <item x="33"/>
        <item m="1" x="254"/>
        <item x="15"/>
        <item x="31"/>
        <item m="1" x="253"/>
        <item m="1" x="252"/>
        <item m="1" x="251"/>
        <item x="82"/>
        <item x="132"/>
        <item m="1" x="250"/>
        <item x="55"/>
        <item m="1" x="249"/>
        <item x="22"/>
        <item x="113"/>
        <item m="1" x="248"/>
        <item m="1" x="247"/>
        <item x="89"/>
        <item x="11"/>
        <item m="1" x="246"/>
        <item m="1" x="245"/>
        <item x="97"/>
        <item m="1" x="244"/>
        <item m="1" x="243"/>
        <item m="1" x="242"/>
        <item x="91"/>
        <item x="13"/>
        <item m="1" x="241"/>
        <item m="1" x="240"/>
        <item x="112"/>
        <item x="47"/>
        <item x="5"/>
        <item m="1" x="239"/>
        <item m="1" x="238"/>
        <item m="1" x="237"/>
        <item x="56"/>
        <item m="1" x="236"/>
        <item x="129"/>
        <item m="1" x="235"/>
        <item x="60"/>
        <item x="74"/>
        <item m="1" x="234"/>
        <item m="1" x="233"/>
        <item x="6"/>
        <item x="78"/>
        <item x="118"/>
        <item m="1" x="232"/>
        <item m="1" x="231"/>
        <item m="1" x="230"/>
        <item m="1" x="229"/>
        <item m="1" x="228"/>
        <item x="54"/>
        <item x="30"/>
        <item m="1" x="227"/>
        <item x="110"/>
        <item m="1" x="226"/>
        <item x="43"/>
        <item m="1" x="225"/>
        <item m="1" x="224"/>
        <item m="1" x="223"/>
        <item x="102"/>
        <item x="131"/>
        <item x="80"/>
        <item x="67"/>
        <item x="77"/>
        <item m="1" x="222"/>
        <item x="139"/>
        <item x="57"/>
        <item x="18"/>
        <item x="71"/>
        <item x="38"/>
        <item m="1" x="221"/>
        <item m="1" x="220"/>
        <item x="25"/>
        <item m="1" x="219"/>
        <item m="1" x="218"/>
        <item x="65"/>
        <item x="50"/>
        <item x="86"/>
        <item x="109"/>
        <item m="1" x="217"/>
        <item m="1" x="216"/>
        <item m="1" x="215"/>
        <item x="40"/>
        <item m="1" x="214"/>
        <item x="93"/>
        <item x="17"/>
        <item x="2"/>
        <item m="1" x="213"/>
        <item x="7"/>
        <item m="1" x="212"/>
        <item m="1" x="211"/>
        <item m="1" x="210"/>
        <item x="104"/>
        <item m="1" x="209"/>
        <item x="83"/>
        <item m="1" x="208"/>
        <item m="1" x="207"/>
        <item m="1" x="206"/>
        <item m="1" x="205"/>
        <item x="12"/>
        <item x="24"/>
        <item x="119"/>
        <item m="1" x="204"/>
        <item m="1" x="203"/>
        <item m="1" x="202"/>
        <item x="21"/>
        <item m="1" x="201"/>
        <item m="1" x="140"/>
        <item m="1" x="200"/>
        <item m="1" x="199"/>
        <item m="1" x="198"/>
        <item m="1" x="197"/>
        <item m="1" x="196"/>
        <item m="1" x="195"/>
        <item m="1" x="194"/>
        <item m="1" x="193"/>
        <item m="1" x="192"/>
        <item m="1" x="191"/>
        <item x="39"/>
        <item m="1" x="190"/>
        <item x="95"/>
        <item x="61"/>
        <item x="128"/>
        <item m="1" x="189"/>
        <item m="1" x="188"/>
        <item m="1" x="187"/>
        <item m="1" x="186"/>
        <item m="1" x="185"/>
        <item m="1" x="184"/>
        <item m="1" x="183"/>
        <item m="1" x="182"/>
        <item x="111"/>
        <item x="46"/>
        <item x="10"/>
        <item x="68"/>
        <item x="121"/>
        <item m="1" x="181"/>
        <item x="3"/>
        <item x="106"/>
        <item m="1" x="180"/>
        <item x="72"/>
        <item x="136"/>
        <item m="1" x="179"/>
        <item m="1" x="178"/>
        <item m="1" x="177"/>
        <item x="51"/>
        <item x="79"/>
        <item x="19"/>
        <item x="100"/>
        <item x="101"/>
        <item x="76"/>
        <item x="4"/>
        <item x="88"/>
        <item x="63"/>
        <item m="1" x="176"/>
        <item x="29"/>
        <item m="1" x="175"/>
        <item m="1" x="174"/>
        <item m="1" x="173"/>
        <item x="42"/>
        <item m="1" x="172"/>
        <item m="1" x="171"/>
        <item m="1" x="170"/>
        <item m="1" x="169"/>
        <item x="28"/>
        <item x="114"/>
        <item x="98"/>
        <item m="1" x="168"/>
        <item m="1" x="167"/>
        <item x="59"/>
        <item x="26"/>
        <item m="1" x="166"/>
        <item x="14"/>
        <item x="94"/>
        <item m="1" x="165"/>
        <item m="1" x="164"/>
        <item m="1" x="163"/>
        <item m="1" x="162"/>
        <item x="107"/>
        <item x="9"/>
        <item x="87"/>
        <item x="133"/>
        <item x="105"/>
        <item m="1" x="161"/>
        <item x="69"/>
        <item x="108"/>
        <item x="122"/>
        <item m="1" x="160"/>
        <item x="117"/>
        <item x="41"/>
        <item m="1" x="159"/>
        <item m="1" x="158"/>
        <item x="20"/>
        <item x="49"/>
        <item m="1" x="157"/>
        <item m="1" x="156"/>
        <item m="1" x="155"/>
        <item x="58"/>
        <item x="44"/>
        <item x="81"/>
        <item x="125"/>
        <item x="66"/>
        <item m="1" x="154"/>
        <item m="1" x="153"/>
        <item m="1" x="152"/>
        <item m="1" x="151"/>
        <item m="1" x="150"/>
        <item m="1" x="149"/>
        <item m="1" x="148"/>
        <item m="1" x="147"/>
        <item m="1" x="146"/>
        <item m="1" x="145"/>
        <item m="1" x="143"/>
        <item x="135"/>
        <item x="8"/>
        <item m="1" x="141"/>
        <item x="35"/>
        <item x="64"/>
        <item t="default"/>
      </items>
    </pivotField>
    <pivotField showAll="0">
      <items count="17">
        <item h="1" x="5"/>
        <item x="1"/>
        <item h="1" m="1" x="11"/>
        <item h="1" m="1" x="9"/>
        <item h="1" x="0"/>
        <item h="1" x="2"/>
        <item h="1" m="1" x="8"/>
        <item h="1" x="7"/>
        <item h="1" m="1" x="10"/>
        <item h="1" m="1" x="13"/>
        <item h="1" m="1" x="12"/>
        <item h="1" x="3"/>
        <item h="1" m="1" x="14"/>
        <item h="1" x="6"/>
        <item h="1" m="1" x="15"/>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2"/>
    </i>
    <i>
      <x v="138"/>
    </i>
    <i>
      <x v="168"/>
    </i>
    <i>
      <x v="185"/>
    </i>
    <i>
      <x v="252"/>
    </i>
  </rowItems>
  <colItems count="1">
    <i/>
  </colItems>
  <dataFields count="1">
    <dataField name="Total Sales " fld="8" baseField="1" baseItem="3"/>
  </dataFields>
  <pivotTableStyleInfo name="PivotStyleDark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0D9933-2161-43AE-85D1-F898C4ED9BC8}"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9"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4"/>
        <item m="1" x="267"/>
        <item m="1" x="142"/>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0"/>
        <item m="1" x="200"/>
        <item m="1" x="199"/>
        <item m="1" x="198"/>
        <item m="1" x="197"/>
        <item m="1" x="196"/>
        <item m="1" x="195"/>
        <item m="1" x="194"/>
        <item m="1" x="193"/>
        <item m="1" x="192"/>
        <item m="1" x="191"/>
        <item m="1" x="190"/>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3"/>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items count="17">
        <item h="1" x="5"/>
        <item x="1"/>
        <item h="1" m="1" x="11"/>
        <item h="1" m="1" x="9"/>
        <item h="1" x="0"/>
        <item h="1" x="2"/>
        <item h="1" m="1" x="8"/>
        <item h="1" x="7"/>
        <item h="1" m="1" x="10"/>
        <item h="1" m="1" x="13"/>
        <item h="1" m="1" x="12"/>
        <item h="1" x="3"/>
        <item h="1" m="1" x="14"/>
        <item h="1" x="6"/>
        <item h="1" m="1" x="15"/>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0"/>
    </i>
    <i>
      <x v="198"/>
    </i>
    <i>
      <x v="230"/>
    </i>
    <i>
      <x v="253"/>
    </i>
    <i>
      <x v="261"/>
    </i>
    <i>
      <x v="277"/>
    </i>
  </rowItems>
  <colItems count="1">
    <i/>
  </colItems>
  <dataFields count="1">
    <dataField name="Sum of Total Sales" fld="8"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A900E6-ED5A-42D3-BC48-44AC47D4D793}"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J3:K8" firstHeaderRow="1" firstDataRow="1" firstDataCol="1"/>
  <pivotFields count="12">
    <pivotField showAll="0"/>
    <pivotField axis="axisRow" showAll="0" measureFilter="1">
      <items count="282">
        <item m="1" x="280"/>
        <item m="1" x="279"/>
        <item m="1" x="278"/>
        <item m="1" x="277"/>
        <item m="1" x="276"/>
        <item m="1" x="275"/>
        <item m="1" x="274"/>
        <item m="1" x="273"/>
        <item m="1" x="272"/>
        <item m="1" x="271"/>
        <item m="1" x="270"/>
        <item m="1" x="269"/>
        <item m="1" x="268"/>
        <item m="1" x="144"/>
        <item m="1" x="267"/>
        <item m="1" x="142"/>
        <item m="1" x="266"/>
        <item m="1" x="265"/>
        <item m="1" x="264"/>
        <item m="1" x="263"/>
        <item m="1" x="262"/>
        <item m="1" x="261"/>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140"/>
        <item m="1" x="200"/>
        <item m="1" x="199"/>
        <item m="1" x="198"/>
        <item m="1" x="197"/>
        <item m="1" x="196"/>
        <item m="1" x="195"/>
        <item m="1" x="194"/>
        <item m="1" x="193"/>
        <item m="1" x="192"/>
        <item m="1" x="191"/>
        <item m="1" x="190"/>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3"/>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t="default"/>
      </items>
    </pivotField>
    <pivotField showAll="0">
      <items count="17">
        <item h="1" x="5"/>
        <item x="1"/>
        <item h="1" m="1" x="11"/>
        <item h="1" m="1" x="9"/>
        <item h="1" x="0"/>
        <item h="1" x="2"/>
        <item h="1" m="1" x="8"/>
        <item h="1" x="7"/>
        <item h="1" m="1" x="10"/>
        <item h="1" m="1" x="13"/>
        <item h="1" m="1" x="12"/>
        <item h="1" x="3"/>
        <item h="1" m="1" x="14"/>
        <item h="1" x="6"/>
        <item h="1" m="1" x="15"/>
        <item h="1" x="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2"/>
    </i>
    <i>
      <x v="162"/>
    </i>
    <i>
      <x v="182"/>
    </i>
    <i>
      <x v="206"/>
    </i>
    <i>
      <x v="269"/>
    </i>
  </rowItems>
  <colItems count="1">
    <i/>
  </colItems>
  <dataFields count="1">
    <dataField name="Away From Target % wise" fld="11" baseField="1" baseItem="4" numFmtId="10"/>
  </dataFields>
  <chartFormats count="2">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28"/>
          </reference>
        </references>
      </pivotArea>
    </chartFormat>
  </chartFormats>
  <pivotTableStyleInfo name="PivotStyleDark1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3AB14AC-1FD6-48AF-B178-084B8923A2B8}" sourceName="Region">
  <pivotTables>
    <pivotTable tabId="3" name="PivotTable4"/>
    <pivotTable tabId="3" name="PivotTable1"/>
    <pivotTable tabId="3" name="PivotTable2"/>
    <pivotTable tabId="3" name="PivotTable3"/>
  </pivotTables>
  <data>
    <tabular pivotCacheId="93566871">
      <items count="16">
        <i x="5"/>
        <i x="1" s="1"/>
        <i x="0"/>
        <i x="2"/>
        <i x="7"/>
        <i x="3"/>
        <i x="6"/>
        <i x="4"/>
        <i x="11" nd="1"/>
        <i x="9" nd="1"/>
        <i x="8" nd="1"/>
        <i x="10" nd="1"/>
        <i x="13" nd="1"/>
        <i x="12" nd="1"/>
        <i x="14" nd="1"/>
        <i x="15"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8FEADF4-B58E-46D0-9D7A-7F3EE3ED49BC}" cache="Slicer_Region1" caption="Region" columnCount="8" showCaption="0" style="Slicer Style 2" rowHeight="27432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N201"/>
  <sheetViews>
    <sheetView zoomScale="130" zoomScaleNormal="130" workbookViewId="0">
      <selection activeCell="M2" sqref="M2:N2"/>
    </sheetView>
  </sheetViews>
  <sheetFormatPr defaultRowHeight="14.4" x14ac:dyDescent="0.3"/>
  <cols>
    <col min="1" max="1" width="11.44140625" bestFit="1" customWidth="1"/>
    <col min="2" max="2" width="20.21875" customWidth="1"/>
    <col min="3" max="3" width="11.77734375" bestFit="1"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row>
    <row r="2" spans="1:14" x14ac:dyDescent="0.3">
      <c r="A2" t="s">
        <v>15</v>
      </c>
      <c r="B2" t="s">
        <v>16</v>
      </c>
      <c r="C2" t="s">
        <v>17</v>
      </c>
      <c r="D2">
        <v>85</v>
      </c>
      <c r="E2">
        <v>92</v>
      </c>
      <c r="F2">
        <v>91</v>
      </c>
      <c r="G2">
        <v>88</v>
      </c>
      <c r="H2">
        <v>90</v>
      </c>
      <c r="I2">
        <v>446</v>
      </c>
      <c r="J2">
        <v>500</v>
      </c>
      <c r="K2" s="2">
        <f>I2/J2</f>
        <v>0.89200000000000002</v>
      </c>
      <c r="L2" s="3">
        <f>100%-K2</f>
        <v>0.10799999999999998</v>
      </c>
      <c r="N2" s="8"/>
    </row>
    <row r="3" spans="1:14" x14ac:dyDescent="0.3">
      <c r="A3" t="s">
        <v>18</v>
      </c>
      <c r="B3" t="s">
        <v>19</v>
      </c>
      <c r="C3" t="s">
        <v>20</v>
      </c>
      <c r="D3">
        <v>22</v>
      </c>
      <c r="E3">
        <v>15</v>
      </c>
      <c r="F3">
        <v>21</v>
      </c>
      <c r="G3">
        <v>19</v>
      </c>
      <c r="H3">
        <v>20</v>
      </c>
      <c r="I3">
        <v>97</v>
      </c>
      <c r="J3">
        <v>500</v>
      </c>
      <c r="K3" s="2">
        <f t="shared" ref="K3:K33" si="0">I3/J3</f>
        <v>0.19400000000000001</v>
      </c>
      <c r="L3" s="3">
        <f t="shared" ref="L3:L65" si="1">100%-K3</f>
        <v>0.80600000000000005</v>
      </c>
    </row>
    <row r="4" spans="1:14" x14ac:dyDescent="0.3">
      <c r="A4" t="s">
        <v>21</v>
      </c>
      <c r="B4" t="s">
        <v>22</v>
      </c>
      <c r="C4" t="s">
        <v>23</v>
      </c>
      <c r="D4">
        <v>55</v>
      </c>
      <c r="E4">
        <v>48</v>
      </c>
      <c r="F4">
        <v>62</v>
      </c>
      <c r="G4">
        <v>59</v>
      </c>
      <c r="H4">
        <v>50</v>
      </c>
      <c r="I4">
        <v>274</v>
      </c>
      <c r="J4">
        <v>500</v>
      </c>
      <c r="K4" s="2">
        <f t="shared" si="0"/>
        <v>0.54800000000000004</v>
      </c>
      <c r="L4" s="3">
        <f t="shared" si="1"/>
        <v>0.45199999999999996</v>
      </c>
    </row>
    <row r="5" spans="1:14" x14ac:dyDescent="0.3">
      <c r="A5" t="s">
        <v>24</v>
      </c>
      <c r="B5" t="s">
        <v>25</v>
      </c>
      <c r="C5" t="s">
        <v>26</v>
      </c>
      <c r="D5">
        <v>88</v>
      </c>
      <c r="E5">
        <v>81</v>
      </c>
      <c r="F5">
        <v>85</v>
      </c>
      <c r="G5">
        <v>83</v>
      </c>
      <c r="H5">
        <v>89</v>
      </c>
      <c r="I5">
        <v>426</v>
      </c>
      <c r="J5">
        <v>500</v>
      </c>
      <c r="K5" s="2">
        <f t="shared" si="0"/>
        <v>0.85199999999999998</v>
      </c>
      <c r="L5" s="3">
        <f t="shared" si="1"/>
        <v>0.14800000000000002</v>
      </c>
    </row>
    <row r="6" spans="1:14" x14ac:dyDescent="0.3">
      <c r="A6" t="s">
        <v>27</v>
      </c>
      <c r="B6" t="s">
        <v>28</v>
      </c>
      <c r="C6" t="s">
        <v>29</v>
      </c>
      <c r="D6">
        <v>45</v>
      </c>
      <c r="E6">
        <v>39</v>
      </c>
      <c r="F6">
        <v>51</v>
      </c>
      <c r="G6">
        <v>48</v>
      </c>
      <c r="H6">
        <v>42</v>
      </c>
      <c r="I6">
        <v>225</v>
      </c>
      <c r="J6">
        <v>500</v>
      </c>
      <c r="K6" s="2">
        <f t="shared" si="0"/>
        <v>0.45</v>
      </c>
      <c r="L6" s="3">
        <f t="shared" si="1"/>
        <v>0.55000000000000004</v>
      </c>
    </row>
    <row r="7" spans="1:14" x14ac:dyDescent="0.3">
      <c r="A7" t="s">
        <v>30</v>
      </c>
      <c r="B7" t="s">
        <v>31</v>
      </c>
      <c r="C7" t="s">
        <v>32</v>
      </c>
      <c r="D7">
        <v>71</v>
      </c>
      <c r="E7">
        <v>78</v>
      </c>
      <c r="F7">
        <v>77</v>
      </c>
      <c r="G7">
        <v>74</v>
      </c>
      <c r="H7">
        <v>70</v>
      </c>
      <c r="I7">
        <v>370</v>
      </c>
      <c r="J7">
        <v>500</v>
      </c>
      <c r="K7" s="2">
        <f t="shared" si="0"/>
        <v>0.74</v>
      </c>
      <c r="L7" s="3">
        <f t="shared" si="1"/>
        <v>0.26</v>
      </c>
    </row>
    <row r="8" spans="1:14" x14ac:dyDescent="0.3">
      <c r="A8" t="s">
        <v>33</v>
      </c>
      <c r="B8" t="s">
        <v>34</v>
      </c>
      <c r="C8" t="s">
        <v>35</v>
      </c>
      <c r="D8">
        <v>12</v>
      </c>
      <c r="E8">
        <v>9</v>
      </c>
      <c r="F8">
        <v>18</v>
      </c>
      <c r="G8">
        <v>15</v>
      </c>
      <c r="H8">
        <v>11</v>
      </c>
      <c r="I8">
        <v>65</v>
      </c>
      <c r="J8">
        <v>500</v>
      </c>
      <c r="K8" s="2">
        <f t="shared" si="0"/>
        <v>0.13</v>
      </c>
      <c r="L8" s="3">
        <f t="shared" si="1"/>
        <v>0.87</v>
      </c>
    </row>
    <row r="9" spans="1:14" x14ac:dyDescent="0.3">
      <c r="A9" t="s">
        <v>36</v>
      </c>
      <c r="B9" t="s">
        <v>37</v>
      </c>
      <c r="C9" t="s">
        <v>38</v>
      </c>
      <c r="D9">
        <v>78</v>
      </c>
      <c r="E9">
        <v>81</v>
      </c>
      <c r="F9">
        <v>75</v>
      </c>
      <c r="G9">
        <v>82</v>
      </c>
      <c r="H9">
        <v>79</v>
      </c>
      <c r="I9">
        <v>395</v>
      </c>
      <c r="J9">
        <v>500</v>
      </c>
      <c r="K9" s="2">
        <f t="shared" si="0"/>
        <v>0.79</v>
      </c>
      <c r="L9" s="3">
        <f t="shared" si="1"/>
        <v>0.20999999999999996</v>
      </c>
    </row>
    <row r="10" spans="1:14" x14ac:dyDescent="0.3">
      <c r="A10" t="s">
        <v>39</v>
      </c>
      <c r="B10" t="s">
        <v>40</v>
      </c>
      <c r="C10" t="s">
        <v>17</v>
      </c>
      <c r="D10">
        <v>81</v>
      </c>
      <c r="E10">
        <v>85</v>
      </c>
      <c r="F10">
        <v>85</v>
      </c>
      <c r="G10">
        <v>88</v>
      </c>
      <c r="H10">
        <v>82</v>
      </c>
      <c r="I10">
        <v>421</v>
      </c>
      <c r="J10">
        <v>500</v>
      </c>
      <c r="K10" s="2">
        <f t="shared" si="0"/>
        <v>0.84199999999999997</v>
      </c>
      <c r="L10" s="3">
        <f t="shared" si="1"/>
        <v>0.15800000000000003</v>
      </c>
    </row>
    <row r="11" spans="1:14" x14ac:dyDescent="0.3">
      <c r="A11" t="s">
        <v>41</v>
      </c>
      <c r="B11" t="s">
        <v>42</v>
      </c>
      <c r="C11" t="s">
        <v>20</v>
      </c>
      <c r="D11">
        <v>37</v>
      </c>
      <c r="E11">
        <v>32</v>
      </c>
      <c r="F11">
        <v>35</v>
      </c>
      <c r="G11">
        <v>31</v>
      </c>
      <c r="H11">
        <v>38</v>
      </c>
      <c r="I11">
        <v>173</v>
      </c>
      <c r="J11">
        <v>500</v>
      </c>
      <c r="K11" s="2">
        <f t="shared" si="0"/>
        <v>0.34599999999999997</v>
      </c>
      <c r="L11" s="3">
        <f t="shared" si="1"/>
        <v>0.65400000000000003</v>
      </c>
    </row>
    <row r="12" spans="1:14" x14ac:dyDescent="0.3">
      <c r="A12" t="s">
        <v>43</v>
      </c>
      <c r="B12" t="s">
        <v>44</v>
      </c>
      <c r="C12" t="s">
        <v>23</v>
      </c>
      <c r="D12">
        <v>88</v>
      </c>
      <c r="E12">
        <v>85</v>
      </c>
      <c r="F12">
        <v>93</v>
      </c>
      <c r="G12">
        <v>90</v>
      </c>
      <c r="H12">
        <v>87</v>
      </c>
      <c r="I12">
        <v>443</v>
      </c>
      <c r="J12">
        <v>500</v>
      </c>
      <c r="K12" s="2">
        <f t="shared" si="0"/>
        <v>0.88600000000000001</v>
      </c>
      <c r="L12" s="3">
        <f t="shared" si="1"/>
        <v>0.11399999999999999</v>
      </c>
    </row>
    <row r="13" spans="1:14" x14ac:dyDescent="0.3">
      <c r="A13" t="s">
        <v>45</v>
      </c>
      <c r="B13" t="s">
        <v>46</v>
      </c>
      <c r="C13" t="s">
        <v>26</v>
      </c>
      <c r="D13">
        <v>23</v>
      </c>
      <c r="E13">
        <v>26</v>
      </c>
      <c r="F13">
        <v>20</v>
      </c>
      <c r="G13">
        <v>28</v>
      </c>
      <c r="H13">
        <v>24</v>
      </c>
      <c r="I13">
        <v>121</v>
      </c>
      <c r="J13">
        <v>500</v>
      </c>
      <c r="K13" s="2">
        <f t="shared" si="0"/>
        <v>0.24199999999999999</v>
      </c>
      <c r="L13" s="3">
        <f t="shared" si="1"/>
        <v>0.75800000000000001</v>
      </c>
    </row>
    <row r="14" spans="1:14" x14ac:dyDescent="0.3">
      <c r="A14" t="s">
        <v>47</v>
      </c>
      <c r="B14" t="s">
        <v>48</v>
      </c>
      <c r="C14" t="s">
        <v>29</v>
      </c>
      <c r="D14">
        <v>68</v>
      </c>
      <c r="E14">
        <v>65</v>
      </c>
      <c r="F14">
        <v>72</v>
      </c>
      <c r="G14">
        <v>70</v>
      </c>
      <c r="H14">
        <v>69</v>
      </c>
      <c r="I14">
        <v>344</v>
      </c>
      <c r="J14">
        <v>500</v>
      </c>
      <c r="K14" s="2">
        <f t="shared" si="0"/>
        <v>0.68799999999999994</v>
      </c>
      <c r="L14" s="3">
        <f t="shared" si="1"/>
        <v>0.31200000000000006</v>
      </c>
    </row>
    <row r="15" spans="1:14" x14ac:dyDescent="0.3">
      <c r="A15" t="s">
        <v>49</v>
      </c>
      <c r="B15" t="s">
        <v>50</v>
      </c>
      <c r="C15" t="s">
        <v>32</v>
      </c>
      <c r="D15">
        <v>85</v>
      </c>
      <c r="E15">
        <v>82</v>
      </c>
      <c r="F15">
        <v>80</v>
      </c>
      <c r="G15">
        <v>88</v>
      </c>
      <c r="H15">
        <v>86</v>
      </c>
      <c r="I15">
        <v>421</v>
      </c>
      <c r="J15">
        <v>500</v>
      </c>
      <c r="K15" s="2">
        <f t="shared" si="0"/>
        <v>0.84199999999999997</v>
      </c>
      <c r="L15" s="3">
        <f t="shared" si="1"/>
        <v>0.15800000000000003</v>
      </c>
    </row>
    <row r="16" spans="1:14" x14ac:dyDescent="0.3">
      <c r="A16" t="s">
        <v>51</v>
      </c>
      <c r="B16" t="s">
        <v>52</v>
      </c>
      <c r="C16" t="s">
        <v>35</v>
      </c>
      <c r="D16">
        <v>18</v>
      </c>
      <c r="E16">
        <v>15</v>
      </c>
      <c r="F16">
        <v>23</v>
      </c>
      <c r="G16">
        <v>20</v>
      </c>
      <c r="H16">
        <v>17</v>
      </c>
      <c r="I16">
        <v>93</v>
      </c>
      <c r="J16">
        <v>500</v>
      </c>
      <c r="K16" s="2">
        <f t="shared" si="0"/>
        <v>0.186</v>
      </c>
      <c r="L16" s="3">
        <f t="shared" si="1"/>
        <v>0.81400000000000006</v>
      </c>
    </row>
    <row r="17" spans="1:12" x14ac:dyDescent="0.3">
      <c r="A17" t="s">
        <v>53</v>
      </c>
      <c r="B17" t="s">
        <v>54</v>
      </c>
      <c r="C17" t="s">
        <v>38</v>
      </c>
      <c r="D17">
        <v>72</v>
      </c>
      <c r="E17">
        <v>75</v>
      </c>
      <c r="F17">
        <v>69</v>
      </c>
      <c r="G17">
        <v>77</v>
      </c>
      <c r="H17">
        <v>73</v>
      </c>
      <c r="I17">
        <v>366</v>
      </c>
      <c r="J17">
        <v>500</v>
      </c>
      <c r="K17" s="2">
        <f t="shared" si="0"/>
        <v>0.73199999999999998</v>
      </c>
      <c r="L17" s="3">
        <f t="shared" si="1"/>
        <v>0.26800000000000002</v>
      </c>
    </row>
    <row r="18" spans="1:12" x14ac:dyDescent="0.3">
      <c r="A18" t="s">
        <v>55</v>
      </c>
      <c r="B18" t="s">
        <v>56</v>
      </c>
      <c r="C18" t="s">
        <v>17</v>
      </c>
      <c r="D18">
        <v>89</v>
      </c>
      <c r="E18">
        <v>82</v>
      </c>
      <c r="F18">
        <v>83</v>
      </c>
      <c r="G18">
        <v>86</v>
      </c>
      <c r="H18">
        <v>80</v>
      </c>
      <c r="I18">
        <v>420</v>
      </c>
      <c r="J18">
        <v>500</v>
      </c>
      <c r="K18" s="2">
        <f t="shared" si="0"/>
        <v>0.84</v>
      </c>
      <c r="L18" s="3">
        <f t="shared" si="1"/>
        <v>0.16000000000000003</v>
      </c>
    </row>
    <row r="19" spans="1:12" x14ac:dyDescent="0.3">
      <c r="A19" t="s">
        <v>57</v>
      </c>
      <c r="B19" t="s">
        <v>58</v>
      </c>
      <c r="C19" t="s">
        <v>20</v>
      </c>
      <c r="D19">
        <v>40</v>
      </c>
      <c r="E19">
        <v>38</v>
      </c>
      <c r="F19">
        <v>48</v>
      </c>
      <c r="G19">
        <v>45</v>
      </c>
      <c r="H19">
        <v>42</v>
      </c>
      <c r="I19">
        <v>213</v>
      </c>
      <c r="J19">
        <v>500</v>
      </c>
      <c r="K19" s="2">
        <f t="shared" si="0"/>
        <v>0.42599999999999999</v>
      </c>
      <c r="L19" s="3">
        <f t="shared" si="1"/>
        <v>0.57400000000000007</v>
      </c>
    </row>
    <row r="20" spans="1:12" x14ac:dyDescent="0.3">
      <c r="A20" t="s">
        <v>59</v>
      </c>
      <c r="B20" t="s">
        <v>60</v>
      </c>
      <c r="C20" t="s">
        <v>23</v>
      </c>
      <c r="D20">
        <v>70</v>
      </c>
      <c r="E20">
        <v>77</v>
      </c>
      <c r="F20">
        <v>76</v>
      </c>
      <c r="G20">
        <v>73</v>
      </c>
      <c r="H20">
        <v>79</v>
      </c>
      <c r="I20">
        <v>375</v>
      </c>
      <c r="J20">
        <v>500</v>
      </c>
      <c r="K20" s="2">
        <f t="shared" si="0"/>
        <v>0.75</v>
      </c>
      <c r="L20" s="3">
        <f t="shared" si="1"/>
        <v>0.25</v>
      </c>
    </row>
    <row r="21" spans="1:12" x14ac:dyDescent="0.3">
      <c r="A21" t="s">
        <v>61</v>
      </c>
      <c r="B21" t="s">
        <v>62</v>
      </c>
      <c r="C21" t="s">
        <v>26</v>
      </c>
      <c r="D21">
        <v>29</v>
      </c>
      <c r="E21">
        <v>22</v>
      </c>
      <c r="F21">
        <v>26</v>
      </c>
      <c r="G21">
        <v>24</v>
      </c>
      <c r="H21">
        <v>20</v>
      </c>
      <c r="I21">
        <v>121</v>
      </c>
      <c r="J21">
        <v>500</v>
      </c>
      <c r="K21" s="2">
        <f t="shared" si="0"/>
        <v>0.24199999999999999</v>
      </c>
      <c r="L21" s="3">
        <f t="shared" si="1"/>
        <v>0.75800000000000001</v>
      </c>
    </row>
    <row r="22" spans="1:12" x14ac:dyDescent="0.3">
      <c r="A22" t="s">
        <v>63</v>
      </c>
      <c r="B22" t="s">
        <v>64</v>
      </c>
      <c r="C22" t="s">
        <v>17</v>
      </c>
      <c r="D22">
        <v>75</v>
      </c>
      <c r="E22">
        <v>82</v>
      </c>
      <c r="F22">
        <v>81</v>
      </c>
      <c r="G22">
        <v>78</v>
      </c>
      <c r="H22">
        <v>80</v>
      </c>
      <c r="I22">
        <v>396</v>
      </c>
      <c r="J22">
        <v>500</v>
      </c>
      <c r="K22" s="2">
        <f t="shared" si="0"/>
        <v>0.79200000000000004</v>
      </c>
      <c r="L22" s="3">
        <f t="shared" si="1"/>
        <v>0.20799999999999996</v>
      </c>
    </row>
    <row r="23" spans="1:12" x14ac:dyDescent="0.3">
      <c r="A23" t="s">
        <v>65</v>
      </c>
      <c r="B23" t="s">
        <v>66</v>
      </c>
      <c r="C23" t="s">
        <v>20</v>
      </c>
      <c r="D23">
        <v>32</v>
      </c>
      <c r="E23">
        <v>25</v>
      </c>
      <c r="F23">
        <v>31</v>
      </c>
      <c r="G23">
        <v>29</v>
      </c>
      <c r="H23">
        <v>30</v>
      </c>
      <c r="I23">
        <v>147</v>
      </c>
      <c r="J23">
        <v>500</v>
      </c>
      <c r="K23" s="2">
        <f t="shared" si="0"/>
        <v>0.29399999999999998</v>
      </c>
      <c r="L23" s="3">
        <f t="shared" si="1"/>
        <v>0.70599999999999996</v>
      </c>
    </row>
    <row r="24" spans="1:12" x14ac:dyDescent="0.3">
      <c r="A24" t="s">
        <v>67</v>
      </c>
      <c r="B24" t="s">
        <v>68</v>
      </c>
      <c r="C24" t="s">
        <v>23</v>
      </c>
      <c r="D24">
        <v>65</v>
      </c>
      <c r="E24">
        <v>58</v>
      </c>
      <c r="F24">
        <v>68</v>
      </c>
      <c r="G24">
        <v>69</v>
      </c>
      <c r="H24">
        <v>60</v>
      </c>
      <c r="I24">
        <v>320</v>
      </c>
      <c r="J24">
        <v>500</v>
      </c>
      <c r="K24" s="2">
        <f t="shared" si="0"/>
        <v>0.64</v>
      </c>
      <c r="L24" s="3">
        <f t="shared" si="1"/>
        <v>0.36</v>
      </c>
    </row>
    <row r="25" spans="1:12" x14ac:dyDescent="0.3">
      <c r="A25" t="s">
        <v>69</v>
      </c>
      <c r="B25" t="s">
        <v>70</v>
      </c>
      <c r="C25" t="s">
        <v>26</v>
      </c>
      <c r="D25">
        <v>98</v>
      </c>
      <c r="E25">
        <v>91</v>
      </c>
      <c r="F25">
        <v>95</v>
      </c>
      <c r="G25">
        <v>93</v>
      </c>
      <c r="H25">
        <v>99</v>
      </c>
      <c r="I25">
        <v>476</v>
      </c>
      <c r="J25">
        <v>500</v>
      </c>
      <c r="K25" s="2">
        <f t="shared" si="0"/>
        <v>0.95199999999999996</v>
      </c>
      <c r="L25" s="3">
        <f t="shared" si="1"/>
        <v>4.8000000000000043E-2</v>
      </c>
    </row>
    <row r="26" spans="1:12" x14ac:dyDescent="0.3">
      <c r="A26" t="s">
        <v>71</v>
      </c>
      <c r="B26" t="s">
        <v>72</v>
      </c>
      <c r="C26" t="s">
        <v>29</v>
      </c>
      <c r="D26">
        <v>55</v>
      </c>
      <c r="E26">
        <v>49</v>
      </c>
      <c r="F26">
        <v>58</v>
      </c>
      <c r="G26">
        <v>58</v>
      </c>
      <c r="H26">
        <v>52</v>
      </c>
      <c r="I26">
        <v>272</v>
      </c>
      <c r="J26">
        <v>500</v>
      </c>
      <c r="K26" s="2">
        <f t="shared" si="0"/>
        <v>0.54400000000000004</v>
      </c>
      <c r="L26" s="3">
        <f t="shared" si="1"/>
        <v>0.45599999999999996</v>
      </c>
    </row>
    <row r="27" spans="1:12" x14ac:dyDescent="0.3">
      <c r="A27" t="s">
        <v>73</v>
      </c>
      <c r="B27" t="s">
        <v>74</v>
      </c>
      <c r="C27" t="s">
        <v>32</v>
      </c>
      <c r="D27">
        <v>81</v>
      </c>
      <c r="E27">
        <v>88</v>
      </c>
      <c r="F27">
        <v>87</v>
      </c>
      <c r="G27">
        <v>84</v>
      </c>
      <c r="H27">
        <v>80</v>
      </c>
      <c r="I27">
        <v>420</v>
      </c>
      <c r="J27">
        <v>500</v>
      </c>
      <c r="K27" s="2">
        <f t="shared" si="0"/>
        <v>0.84</v>
      </c>
      <c r="L27" s="3">
        <f t="shared" si="1"/>
        <v>0.16000000000000003</v>
      </c>
    </row>
    <row r="28" spans="1:12" x14ac:dyDescent="0.3">
      <c r="A28" t="s">
        <v>75</v>
      </c>
      <c r="B28" t="s">
        <v>76</v>
      </c>
      <c r="C28" t="s">
        <v>35</v>
      </c>
      <c r="D28">
        <v>17</v>
      </c>
      <c r="E28">
        <v>19</v>
      </c>
      <c r="F28">
        <v>28</v>
      </c>
      <c r="G28">
        <v>25</v>
      </c>
      <c r="H28">
        <v>21</v>
      </c>
      <c r="I28">
        <v>110</v>
      </c>
      <c r="J28">
        <v>500</v>
      </c>
      <c r="K28" s="2">
        <f t="shared" si="0"/>
        <v>0.22</v>
      </c>
      <c r="L28" s="3">
        <f t="shared" si="1"/>
        <v>0.78</v>
      </c>
    </row>
    <row r="29" spans="1:12" x14ac:dyDescent="0.3">
      <c r="A29" t="s">
        <v>77</v>
      </c>
      <c r="B29" t="s">
        <v>78</v>
      </c>
      <c r="C29" t="s">
        <v>38</v>
      </c>
      <c r="D29">
        <v>78</v>
      </c>
      <c r="E29">
        <v>81</v>
      </c>
      <c r="F29">
        <v>75</v>
      </c>
      <c r="G29">
        <v>82</v>
      </c>
      <c r="H29">
        <v>79</v>
      </c>
      <c r="I29">
        <v>395</v>
      </c>
      <c r="J29">
        <v>500</v>
      </c>
      <c r="K29" s="2">
        <f t="shared" si="0"/>
        <v>0.79</v>
      </c>
      <c r="L29" s="3">
        <f t="shared" si="1"/>
        <v>0.20999999999999996</v>
      </c>
    </row>
    <row r="30" spans="1:12" x14ac:dyDescent="0.3">
      <c r="A30" t="s">
        <v>79</v>
      </c>
      <c r="B30" t="s">
        <v>80</v>
      </c>
      <c r="C30" t="s">
        <v>17</v>
      </c>
      <c r="D30">
        <v>91</v>
      </c>
      <c r="E30">
        <v>85</v>
      </c>
      <c r="F30">
        <v>95</v>
      </c>
      <c r="G30">
        <v>88</v>
      </c>
      <c r="H30">
        <v>92</v>
      </c>
      <c r="I30">
        <v>451</v>
      </c>
      <c r="J30">
        <v>500</v>
      </c>
      <c r="K30" s="2">
        <f t="shared" si="0"/>
        <v>0.90200000000000002</v>
      </c>
      <c r="L30" s="3">
        <f t="shared" si="1"/>
        <v>9.7999999999999976E-2</v>
      </c>
    </row>
    <row r="31" spans="1:12" x14ac:dyDescent="0.3">
      <c r="A31" t="s">
        <v>81</v>
      </c>
      <c r="B31" t="s">
        <v>82</v>
      </c>
      <c r="C31" t="s">
        <v>20</v>
      </c>
      <c r="D31">
        <v>47</v>
      </c>
      <c r="E31">
        <v>42</v>
      </c>
      <c r="F31">
        <v>45</v>
      </c>
      <c r="G31">
        <v>41</v>
      </c>
      <c r="H31">
        <v>48</v>
      </c>
      <c r="I31">
        <v>223</v>
      </c>
      <c r="J31">
        <v>500</v>
      </c>
      <c r="K31" s="2">
        <f t="shared" si="0"/>
        <v>0.44600000000000001</v>
      </c>
      <c r="L31" s="3">
        <f t="shared" si="1"/>
        <v>0.55400000000000005</v>
      </c>
    </row>
    <row r="32" spans="1:12" x14ac:dyDescent="0.3">
      <c r="A32" t="s">
        <v>83</v>
      </c>
      <c r="B32" t="s">
        <v>84</v>
      </c>
      <c r="C32" t="s">
        <v>23</v>
      </c>
      <c r="D32">
        <v>78</v>
      </c>
      <c r="E32">
        <v>75</v>
      </c>
      <c r="F32">
        <v>83</v>
      </c>
      <c r="G32">
        <v>80</v>
      </c>
      <c r="H32">
        <v>77</v>
      </c>
      <c r="I32">
        <v>393</v>
      </c>
      <c r="J32">
        <v>500</v>
      </c>
      <c r="K32" s="2">
        <f t="shared" si="0"/>
        <v>0.78600000000000003</v>
      </c>
      <c r="L32" s="3">
        <f t="shared" si="1"/>
        <v>0.21399999999999997</v>
      </c>
    </row>
    <row r="33" spans="1:12" x14ac:dyDescent="0.3">
      <c r="A33" t="s">
        <v>85</v>
      </c>
      <c r="B33" t="s">
        <v>86</v>
      </c>
      <c r="C33" t="s">
        <v>26</v>
      </c>
      <c r="D33">
        <v>33</v>
      </c>
      <c r="E33">
        <v>36</v>
      </c>
      <c r="F33">
        <v>30</v>
      </c>
      <c r="G33">
        <v>38</v>
      </c>
      <c r="H33">
        <v>34</v>
      </c>
      <c r="I33">
        <v>161</v>
      </c>
      <c r="J33">
        <v>500</v>
      </c>
      <c r="K33" s="2">
        <f t="shared" si="0"/>
        <v>0.32200000000000001</v>
      </c>
      <c r="L33" s="3">
        <f t="shared" si="1"/>
        <v>0.67799999999999994</v>
      </c>
    </row>
    <row r="34" spans="1:12" x14ac:dyDescent="0.3">
      <c r="A34" t="s">
        <v>87</v>
      </c>
      <c r="B34" t="s">
        <v>88</v>
      </c>
      <c r="C34" t="s">
        <v>29</v>
      </c>
      <c r="D34">
        <v>78</v>
      </c>
      <c r="E34">
        <v>75</v>
      </c>
      <c r="F34">
        <v>82</v>
      </c>
      <c r="G34">
        <v>80</v>
      </c>
      <c r="H34">
        <v>79</v>
      </c>
      <c r="I34">
        <v>394</v>
      </c>
      <c r="J34">
        <v>500</v>
      </c>
      <c r="K34" s="2">
        <f t="shared" ref="K34:K65" si="2">I34/J34</f>
        <v>0.78800000000000003</v>
      </c>
      <c r="L34" s="3">
        <f t="shared" si="1"/>
        <v>0.21199999999999997</v>
      </c>
    </row>
    <row r="35" spans="1:12" x14ac:dyDescent="0.3">
      <c r="A35" t="s">
        <v>89</v>
      </c>
      <c r="B35" t="s">
        <v>90</v>
      </c>
      <c r="C35" t="s">
        <v>32</v>
      </c>
      <c r="D35">
        <v>95</v>
      </c>
      <c r="E35">
        <v>92</v>
      </c>
      <c r="F35">
        <v>90</v>
      </c>
      <c r="G35">
        <v>98</v>
      </c>
      <c r="H35">
        <v>96</v>
      </c>
      <c r="I35">
        <v>471</v>
      </c>
      <c r="J35">
        <v>500</v>
      </c>
      <c r="K35" s="2">
        <f t="shared" si="2"/>
        <v>0.94199999999999995</v>
      </c>
      <c r="L35" s="3">
        <f t="shared" si="1"/>
        <v>5.8000000000000052E-2</v>
      </c>
    </row>
    <row r="36" spans="1:12" x14ac:dyDescent="0.3">
      <c r="A36" t="s">
        <v>91</v>
      </c>
      <c r="B36" t="s">
        <v>92</v>
      </c>
      <c r="C36" t="s">
        <v>35</v>
      </c>
      <c r="D36">
        <v>28</v>
      </c>
      <c r="E36">
        <v>25</v>
      </c>
      <c r="F36">
        <v>33</v>
      </c>
      <c r="G36">
        <v>30</v>
      </c>
      <c r="H36">
        <v>27</v>
      </c>
      <c r="I36">
        <v>143</v>
      </c>
      <c r="J36">
        <v>500</v>
      </c>
      <c r="K36" s="2">
        <f t="shared" si="2"/>
        <v>0.28599999999999998</v>
      </c>
      <c r="L36" s="3">
        <f t="shared" si="1"/>
        <v>0.71399999999999997</v>
      </c>
    </row>
    <row r="37" spans="1:12" x14ac:dyDescent="0.3">
      <c r="A37" t="s">
        <v>93</v>
      </c>
      <c r="B37" t="s">
        <v>94</v>
      </c>
      <c r="C37" t="s">
        <v>38</v>
      </c>
      <c r="D37">
        <v>82</v>
      </c>
      <c r="E37">
        <v>85</v>
      </c>
      <c r="F37">
        <v>79</v>
      </c>
      <c r="G37">
        <v>87</v>
      </c>
      <c r="H37">
        <v>83</v>
      </c>
      <c r="I37">
        <v>416</v>
      </c>
      <c r="J37">
        <v>500</v>
      </c>
      <c r="K37" s="2">
        <f t="shared" si="2"/>
        <v>0.83199999999999996</v>
      </c>
      <c r="L37" s="3">
        <f t="shared" si="1"/>
        <v>0.16800000000000004</v>
      </c>
    </row>
    <row r="38" spans="1:12" x14ac:dyDescent="0.3">
      <c r="A38" t="s">
        <v>95</v>
      </c>
      <c r="B38" t="s">
        <v>96</v>
      </c>
      <c r="C38" t="s">
        <v>17</v>
      </c>
      <c r="D38">
        <v>99</v>
      </c>
      <c r="E38">
        <v>92</v>
      </c>
      <c r="F38">
        <v>93</v>
      </c>
      <c r="G38">
        <v>96</v>
      </c>
      <c r="H38">
        <v>90</v>
      </c>
      <c r="I38">
        <v>470</v>
      </c>
      <c r="J38">
        <v>500</v>
      </c>
      <c r="K38" s="2">
        <f t="shared" si="2"/>
        <v>0.94</v>
      </c>
      <c r="L38" s="3">
        <f t="shared" si="1"/>
        <v>6.0000000000000053E-2</v>
      </c>
    </row>
    <row r="39" spans="1:12" x14ac:dyDescent="0.3">
      <c r="A39" t="s">
        <v>97</v>
      </c>
      <c r="B39" t="s">
        <v>98</v>
      </c>
      <c r="C39" t="s">
        <v>20</v>
      </c>
      <c r="D39">
        <v>50</v>
      </c>
      <c r="E39">
        <v>48</v>
      </c>
      <c r="F39">
        <v>58</v>
      </c>
      <c r="G39">
        <v>55</v>
      </c>
      <c r="H39">
        <v>52</v>
      </c>
      <c r="I39">
        <v>253</v>
      </c>
      <c r="J39">
        <v>500</v>
      </c>
      <c r="K39" s="2">
        <f t="shared" si="2"/>
        <v>0.50600000000000001</v>
      </c>
      <c r="L39" s="3">
        <f t="shared" si="1"/>
        <v>0.49399999999999999</v>
      </c>
    </row>
    <row r="40" spans="1:12" x14ac:dyDescent="0.3">
      <c r="A40" t="s">
        <v>99</v>
      </c>
      <c r="B40" t="s">
        <v>100</v>
      </c>
      <c r="C40" t="s">
        <v>23</v>
      </c>
      <c r="D40">
        <v>90</v>
      </c>
      <c r="E40">
        <v>87</v>
      </c>
      <c r="F40">
        <v>96</v>
      </c>
      <c r="G40">
        <v>93</v>
      </c>
      <c r="H40">
        <v>89</v>
      </c>
      <c r="I40">
        <v>455</v>
      </c>
      <c r="J40">
        <v>500</v>
      </c>
      <c r="K40" s="2">
        <f t="shared" si="2"/>
        <v>0.91</v>
      </c>
      <c r="L40" s="3">
        <f t="shared" si="1"/>
        <v>8.9999999999999969E-2</v>
      </c>
    </row>
    <row r="41" spans="1:12" x14ac:dyDescent="0.3">
      <c r="A41" t="s">
        <v>101</v>
      </c>
      <c r="B41" t="s">
        <v>102</v>
      </c>
      <c r="C41" t="s">
        <v>26</v>
      </c>
      <c r="D41">
        <v>39</v>
      </c>
      <c r="E41">
        <v>32</v>
      </c>
      <c r="F41">
        <v>36</v>
      </c>
      <c r="G41">
        <v>34</v>
      </c>
      <c r="H41">
        <v>30</v>
      </c>
      <c r="I41">
        <v>171</v>
      </c>
      <c r="J41">
        <v>500</v>
      </c>
      <c r="K41" s="2">
        <f t="shared" si="2"/>
        <v>0.34200000000000003</v>
      </c>
      <c r="L41" s="3">
        <f t="shared" si="1"/>
        <v>0.65799999999999992</v>
      </c>
    </row>
    <row r="42" spans="1:12" x14ac:dyDescent="0.3">
      <c r="A42" t="s">
        <v>103</v>
      </c>
      <c r="B42" t="s">
        <v>104</v>
      </c>
      <c r="C42" t="s">
        <v>17</v>
      </c>
      <c r="D42">
        <v>80</v>
      </c>
      <c r="E42">
        <v>87</v>
      </c>
      <c r="F42">
        <v>86</v>
      </c>
      <c r="G42">
        <v>83</v>
      </c>
      <c r="H42">
        <v>89</v>
      </c>
      <c r="I42">
        <v>425</v>
      </c>
      <c r="J42">
        <v>500</v>
      </c>
      <c r="K42" s="2">
        <f t="shared" si="2"/>
        <v>0.85</v>
      </c>
      <c r="L42" s="3">
        <f t="shared" si="1"/>
        <v>0.15000000000000002</v>
      </c>
    </row>
    <row r="43" spans="1:12" x14ac:dyDescent="0.3">
      <c r="A43" t="s">
        <v>105</v>
      </c>
      <c r="B43" t="s">
        <v>106</v>
      </c>
      <c r="C43" t="s">
        <v>20</v>
      </c>
      <c r="D43">
        <v>29</v>
      </c>
      <c r="E43">
        <v>22</v>
      </c>
      <c r="F43">
        <v>26</v>
      </c>
      <c r="G43">
        <v>24</v>
      </c>
      <c r="H43">
        <v>20</v>
      </c>
      <c r="I43">
        <v>121</v>
      </c>
      <c r="J43">
        <v>500</v>
      </c>
      <c r="K43" s="2">
        <f t="shared" si="2"/>
        <v>0.24199999999999999</v>
      </c>
      <c r="L43" s="3">
        <f t="shared" si="1"/>
        <v>0.75800000000000001</v>
      </c>
    </row>
    <row r="44" spans="1:12" x14ac:dyDescent="0.3">
      <c r="A44" t="s">
        <v>107</v>
      </c>
      <c r="B44" t="s">
        <v>108</v>
      </c>
      <c r="C44" t="s">
        <v>23</v>
      </c>
      <c r="D44">
        <v>75</v>
      </c>
      <c r="E44">
        <v>82</v>
      </c>
      <c r="F44">
        <v>81</v>
      </c>
      <c r="G44">
        <v>78</v>
      </c>
      <c r="H44">
        <v>80</v>
      </c>
      <c r="I44">
        <v>396</v>
      </c>
      <c r="J44">
        <v>500</v>
      </c>
      <c r="K44" s="2">
        <f t="shared" si="2"/>
        <v>0.79200000000000004</v>
      </c>
      <c r="L44" s="3">
        <f t="shared" si="1"/>
        <v>0.20799999999999996</v>
      </c>
    </row>
    <row r="45" spans="1:12" x14ac:dyDescent="0.3">
      <c r="A45" t="s">
        <v>109</v>
      </c>
      <c r="B45" t="s">
        <v>110</v>
      </c>
      <c r="C45" t="s">
        <v>26</v>
      </c>
      <c r="D45">
        <v>32</v>
      </c>
      <c r="E45">
        <v>25</v>
      </c>
      <c r="F45">
        <v>31</v>
      </c>
      <c r="G45">
        <v>29</v>
      </c>
      <c r="H45">
        <v>30</v>
      </c>
      <c r="I45">
        <v>147</v>
      </c>
      <c r="J45">
        <v>500</v>
      </c>
      <c r="K45" s="2">
        <f t="shared" si="2"/>
        <v>0.29399999999999998</v>
      </c>
      <c r="L45" s="3">
        <f t="shared" si="1"/>
        <v>0.70599999999999996</v>
      </c>
    </row>
    <row r="46" spans="1:12" x14ac:dyDescent="0.3">
      <c r="A46" t="s">
        <v>111</v>
      </c>
      <c r="B46" t="s">
        <v>112</v>
      </c>
      <c r="C46" t="s">
        <v>29</v>
      </c>
      <c r="D46">
        <v>65</v>
      </c>
      <c r="E46">
        <v>58</v>
      </c>
      <c r="F46">
        <v>68</v>
      </c>
      <c r="G46">
        <v>69</v>
      </c>
      <c r="H46">
        <v>60</v>
      </c>
      <c r="I46">
        <v>320</v>
      </c>
      <c r="J46">
        <v>500</v>
      </c>
      <c r="K46" s="2">
        <f t="shared" si="2"/>
        <v>0.64</v>
      </c>
      <c r="L46" s="3">
        <f t="shared" si="1"/>
        <v>0.36</v>
      </c>
    </row>
    <row r="47" spans="1:12" x14ac:dyDescent="0.3">
      <c r="A47" t="s">
        <v>113</v>
      </c>
      <c r="B47" t="s">
        <v>114</v>
      </c>
      <c r="C47" t="s">
        <v>32</v>
      </c>
      <c r="D47">
        <v>98</v>
      </c>
      <c r="E47">
        <v>91</v>
      </c>
      <c r="F47">
        <v>95</v>
      </c>
      <c r="G47">
        <v>93</v>
      </c>
      <c r="H47">
        <v>99</v>
      </c>
      <c r="I47">
        <v>476</v>
      </c>
      <c r="J47">
        <v>500</v>
      </c>
      <c r="K47" s="2">
        <f t="shared" si="2"/>
        <v>0.95199999999999996</v>
      </c>
      <c r="L47" s="3">
        <f t="shared" si="1"/>
        <v>4.8000000000000043E-2</v>
      </c>
    </row>
    <row r="48" spans="1:12" x14ac:dyDescent="0.3">
      <c r="A48" t="s">
        <v>115</v>
      </c>
      <c r="B48" t="s">
        <v>116</v>
      </c>
      <c r="C48" t="s">
        <v>35</v>
      </c>
      <c r="D48">
        <v>55</v>
      </c>
      <c r="E48">
        <v>49</v>
      </c>
      <c r="F48">
        <v>58</v>
      </c>
      <c r="G48">
        <v>58</v>
      </c>
      <c r="H48">
        <v>52</v>
      </c>
      <c r="I48">
        <v>272</v>
      </c>
      <c r="J48">
        <v>500</v>
      </c>
      <c r="K48" s="2">
        <f t="shared" si="2"/>
        <v>0.54400000000000004</v>
      </c>
      <c r="L48" s="3">
        <f t="shared" si="1"/>
        <v>0.45599999999999996</v>
      </c>
    </row>
    <row r="49" spans="1:12" x14ac:dyDescent="0.3">
      <c r="A49" t="s">
        <v>117</v>
      </c>
      <c r="B49" t="s">
        <v>118</v>
      </c>
      <c r="C49" t="s">
        <v>38</v>
      </c>
      <c r="D49">
        <v>81</v>
      </c>
      <c r="E49">
        <v>88</v>
      </c>
      <c r="F49">
        <v>87</v>
      </c>
      <c r="G49">
        <v>84</v>
      </c>
      <c r="H49">
        <v>80</v>
      </c>
      <c r="I49">
        <v>420</v>
      </c>
      <c r="J49">
        <v>500</v>
      </c>
      <c r="K49" s="2">
        <f t="shared" si="2"/>
        <v>0.84</v>
      </c>
      <c r="L49" s="3">
        <f t="shared" si="1"/>
        <v>0.16000000000000003</v>
      </c>
    </row>
    <row r="50" spans="1:12" x14ac:dyDescent="0.3">
      <c r="A50" t="s">
        <v>119</v>
      </c>
      <c r="B50" t="s">
        <v>120</v>
      </c>
      <c r="C50" t="s">
        <v>17</v>
      </c>
      <c r="D50">
        <v>17</v>
      </c>
      <c r="E50">
        <v>19</v>
      </c>
      <c r="F50">
        <v>28</v>
      </c>
      <c r="G50">
        <v>25</v>
      </c>
      <c r="H50">
        <v>21</v>
      </c>
      <c r="I50">
        <v>110</v>
      </c>
      <c r="J50">
        <v>500</v>
      </c>
      <c r="K50" s="2">
        <f t="shared" si="2"/>
        <v>0.22</v>
      </c>
      <c r="L50" s="3">
        <f t="shared" si="1"/>
        <v>0.78</v>
      </c>
    </row>
    <row r="51" spans="1:12" x14ac:dyDescent="0.3">
      <c r="A51" t="s">
        <v>121</v>
      </c>
      <c r="B51" t="s">
        <v>122</v>
      </c>
      <c r="C51" t="s">
        <v>20</v>
      </c>
      <c r="D51">
        <v>78</v>
      </c>
      <c r="E51">
        <v>81</v>
      </c>
      <c r="F51">
        <v>75</v>
      </c>
      <c r="G51">
        <v>82</v>
      </c>
      <c r="H51">
        <v>79</v>
      </c>
      <c r="I51">
        <v>395</v>
      </c>
      <c r="J51">
        <v>500</v>
      </c>
      <c r="K51" s="2">
        <f t="shared" si="2"/>
        <v>0.79</v>
      </c>
      <c r="L51" s="3">
        <f t="shared" si="1"/>
        <v>0.20999999999999996</v>
      </c>
    </row>
    <row r="52" spans="1:12" x14ac:dyDescent="0.3">
      <c r="A52" t="s">
        <v>123</v>
      </c>
      <c r="B52" t="s">
        <v>124</v>
      </c>
      <c r="C52" t="s">
        <v>23</v>
      </c>
      <c r="D52">
        <v>91</v>
      </c>
      <c r="E52">
        <v>85</v>
      </c>
      <c r="F52">
        <v>95</v>
      </c>
      <c r="G52">
        <v>88</v>
      </c>
      <c r="H52">
        <v>92</v>
      </c>
      <c r="I52">
        <v>451</v>
      </c>
      <c r="J52">
        <v>500</v>
      </c>
      <c r="K52" s="2">
        <f t="shared" si="2"/>
        <v>0.90200000000000002</v>
      </c>
      <c r="L52" s="3">
        <f t="shared" si="1"/>
        <v>9.7999999999999976E-2</v>
      </c>
    </row>
    <row r="53" spans="1:12" x14ac:dyDescent="0.3">
      <c r="A53" t="s">
        <v>125</v>
      </c>
      <c r="B53" t="s">
        <v>126</v>
      </c>
      <c r="C53" t="s">
        <v>26</v>
      </c>
      <c r="D53">
        <v>47</v>
      </c>
      <c r="E53">
        <v>42</v>
      </c>
      <c r="F53">
        <v>45</v>
      </c>
      <c r="G53">
        <v>41</v>
      </c>
      <c r="H53">
        <v>48</v>
      </c>
      <c r="I53">
        <v>223</v>
      </c>
      <c r="J53">
        <v>500</v>
      </c>
      <c r="K53" s="2">
        <f t="shared" si="2"/>
        <v>0.44600000000000001</v>
      </c>
      <c r="L53" s="3">
        <f t="shared" si="1"/>
        <v>0.55400000000000005</v>
      </c>
    </row>
    <row r="54" spans="1:12" x14ac:dyDescent="0.3">
      <c r="A54" t="s">
        <v>127</v>
      </c>
      <c r="B54" t="s">
        <v>128</v>
      </c>
      <c r="C54" t="s">
        <v>29</v>
      </c>
      <c r="D54">
        <v>78</v>
      </c>
      <c r="E54">
        <v>75</v>
      </c>
      <c r="F54">
        <v>83</v>
      </c>
      <c r="G54">
        <v>80</v>
      </c>
      <c r="H54">
        <v>77</v>
      </c>
      <c r="I54">
        <v>393</v>
      </c>
      <c r="J54">
        <v>500</v>
      </c>
      <c r="K54" s="2">
        <f t="shared" si="2"/>
        <v>0.78600000000000003</v>
      </c>
      <c r="L54" s="3">
        <f t="shared" si="1"/>
        <v>0.21399999999999997</v>
      </c>
    </row>
    <row r="55" spans="1:12" x14ac:dyDescent="0.3">
      <c r="A55" t="s">
        <v>129</v>
      </c>
      <c r="B55" t="s">
        <v>130</v>
      </c>
      <c r="C55" t="s">
        <v>32</v>
      </c>
      <c r="D55">
        <v>33</v>
      </c>
      <c r="E55">
        <v>36</v>
      </c>
      <c r="F55">
        <v>30</v>
      </c>
      <c r="G55">
        <v>38</v>
      </c>
      <c r="H55">
        <v>34</v>
      </c>
      <c r="I55">
        <v>161</v>
      </c>
      <c r="J55">
        <v>500</v>
      </c>
      <c r="K55" s="2">
        <f t="shared" si="2"/>
        <v>0.32200000000000001</v>
      </c>
      <c r="L55" s="3">
        <f t="shared" si="1"/>
        <v>0.67799999999999994</v>
      </c>
    </row>
    <row r="56" spans="1:12" x14ac:dyDescent="0.3">
      <c r="A56" t="s">
        <v>131</v>
      </c>
      <c r="B56" t="s">
        <v>132</v>
      </c>
      <c r="C56" t="s">
        <v>35</v>
      </c>
      <c r="D56">
        <v>78</v>
      </c>
      <c r="E56">
        <v>75</v>
      </c>
      <c r="F56">
        <v>82</v>
      </c>
      <c r="G56">
        <v>80</v>
      </c>
      <c r="H56">
        <v>79</v>
      </c>
      <c r="I56">
        <v>394</v>
      </c>
      <c r="J56">
        <v>500</v>
      </c>
      <c r="K56" s="2">
        <f t="shared" si="2"/>
        <v>0.78800000000000003</v>
      </c>
      <c r="L56" s="3">
        <f t="shared" si="1"/>
        <v>0.21199999999999997</v>
      </c>
    </row>
    <row r="57" spans="1:12" x14ac:dyDescent="0.3">
      <c r="A57" t="s">
        <v>133</v>
      </c>
      <c r="B57" t="s">
        <v>134</v>
      </c>
      <c r="C57" t="s">
        <v>38</v>
      </c>
      <c r="D57">
        <v>95</v>
      </c>
      <c r="E57">
        <v>92</v>
      </c>
      <c r="F57">
        <v>90</v>
      </c>
      <c r="G57">
        <v>98</v>
      </c>
      <c r="H57">
        <v>96</v>
      </c>
      <c r="I57">
        <v>471</v>
      </c>
      <c r="J57">
        <v>500</v>
      </c>
      <c r="K57" s="2">
        <f t="shared" si="2"/>
        <v>0.94199999999999995</v>
      </c>
      <c r="L57" s="3">
        <f t="shared" si="1"/>
        <v>5.8000000000000052E-2</v>
      </c>
    </row>
    <row r="58" spans="1:12" x14ac:dyDescent="0.3">
      <c r="A58" t="s">
        <v>135</v>
      </c>
      <c r="B58" t="s">
        <v>136</v>
      </c>
      <c r="C58" t="s">
        <v>17</v>
      </c>
      <c r="D58">
        <v>28</v>
      </c>
      <c r="E58">
        <v>25</v>
      </c>
      <c r="F58">
        <v>33</v>
      </c>
      <c r="G58">
        <v>30</v>
      </c>
      <c r="H58">
        <v>27</v>
      </c>
      <c r="I58">
        <v>143</v>
      </c>
      <c r="J58">
        <v>500</v>
      </c>
      <c r="K58" s="2">
        <f t="shared" si="2"/>
        <v>0.28599999999999998</v>
      </c>
      <c r="L58" s="3">
        <f t="shared" si="1"/>
        <v>0.71399999999999997</v>
      </c>
    </row>
    <row r="59" spans="1:12" x14ac:dyDescent="0.3">
      <c r="A59" t="s">
        <v>137</v>
      </c>
      <c r="B59" t="s">
        <v>138</v>
      </c>
      <c r="C59" t="s">
        <v>20</v>
      </c>
      <c r="D59">
        <v>82</v>
      </c>
      <c r="E59">
        <v>85</v>
      </c>
      <c r="F59">
        <v>79</v>
      </c>
      <c r="G59">
        <v>87</v>
      </c>
      <c r="H59">
        <v>83</v>
      </c>
      <c r="I59">
        <v>416</v>
      </c>
      <c r="J59">
        <v>500</v>
      </c>
      <c r="K59" s="2">
        <f t="shared" si="2"/>
        <v>0.83199999999999996</v>
      </c>
      <c r="L59" s="3">
        <f t="shared" si="1"/>
        <v>0.16800000000000004</v>
      </c>
    </row>
    <row r="60" spans="1:12" x14ac:dyDescent="0.3">
      <c r="A60" t="s">
        <v>139</v>
      </c>
      <c r="B60" t="s">
        <v>140</v>
      </c>
      <c r="C60" t="s">
        <v>23</v>
      </c>
      <c r="D60">
        <v>99</v>
      </c>
      <c r="E60">
        <v>92</v>
      </c>
      <c r="F60">
        <v>93</v>
      </c>
      <c r="G60">
        <v>96</v>
      </c>
      <c r="H60">
        <v>90</v>
      </c>
      <c r="I60">
        <v>470</v>
      </c>
      <c r="J60">
        <v>500</v>
      </c>
      <c r="K60" s="2">
        <f t="shared" si="2"/>
        <v>0.94</v>
      </c>
      <c r="L60" s="3">
        <f t="shared" si="1"/>
        <v>6.0000000000000053E-2</v>
      </c>
    </row>
    <row r="61" spans="1:12" x14ac:dyDescent="0.3">
      <c r="A61" t="s">
        <v>141</v>
      </c>
      <c r="B61" t="s">
        <v>142</v>
      </c>
      <c r="C61" t="s">
        <v>26</v>
      </c>
      <c r="D61">
        <v>50</v>
      </c>
      <c r="E61">
        <v>48</v>
      </c>
      <c r="F61">
        <v>58</v>
      </c>
      <c r="G61">
        <v>55</v>
      </c>
      <c r="H61">
        <v>52</v>
      </c>
      <c r="I61">
        <v>253</v>
      </c>
      <c r="J61">
        <v>500</v>
      </c>
      <c r="K61" s="2">
        <f t="shared" si="2"/>
        <v>0.50600000000000001</v>
      </c>
      <c r="L61" s="3">
        <f t="shared" si="1"/>
        <v>0.49399999999999999</v>
      </c>
    </row>
    <row r="62" spans="1:12" x14ac:dyDescent="0.3">
      <c r="A62" t="s">
        <v>143</v>
      </c>
      <c r="B62" t="s">
        <v>144</v>
      </c>
      <c r="C62" t="s">
        <v>29</v>
      </c>
      <c r="D62">
        <v>90</v>
      </c>
      <c r="E62">
        <v>87</v>
      </c>
      <c r="F62">
        <v>96</v>
      </c>
      <c r="G62">
        <v>93</v>
      </c>
      <c r="H62">
        <v>89</v>
      </c>
      <c r="I62">
        <v>455</v>
      </c>
      <c r="J62">
        <v>500</v>
      </c>
      <c r="K62" s="2">
        <f t="shared" si="2"/>
        <v>0.91</v>
      </c>
      <c r="L62" s="3">
        <f t="shared" si="1"/>
        <v>8.9999999999999969E-2</v>
      </c>
    </row>
    <row r="63" spans="1:12" x14ac:dyDescent="0.3">
      <c r="A63" t="s">
        <v>145</v>
      </c>
      <c r="B63" t="s">
        <v>146</v>
      </c>
      <c r="C63" t="s">
        <v>32</v>
      </c>
      <c r="D63">
        <v>39</v>
      </c>
      <c r="E63">
        <v>32</v>
      </c>
      <c r="F63">
        <v>36</v>
      </c>
      <c r="G63">
        <v>34</v>
      </c>
      <c r="H63">
        <v>30</v>
      </c>
      <c r="I63">
        <v>171</v>
      </c>
      <c r="J63">
        <v>500</v>
      </c>
      <c r="K63" s="2">
        <f t="shared" si="2"/>
        <v>0.34200000000000003</v>
      </c>
      <c r="L63" s="3">
        <f t="shared" si="1"/>
        <v>0.65799999999999992</v>
      </c>
    </row>
    <row r="64" spans="1:12" x14ac:dyDescent="0.3">
      <c r="A64" t="s">
        <v>147</v>
      </c>
      <c r="B64" t="s">
        <v>148</v>
      </c>
      <c r="C64" t="s">
        <v>35</v>
      </c>
      <c r="D64">
        <v>80</v>
      </c>
      <c r="E64">
        <v>87</v>
      </c>
      <c r="F64">
        <v>86</v>
      </c>
      <c r="G64">
        <v>83</v>
      </c>
      <c r="H64">
        <v>89</v>
      </c>
      <c r="I64">
        <v>425</v>
      </c>
      <c r="J64">
        <v>500</v>
      </c>
      <c r="K64" s="2">
        <f t="shared" si="2"/>
        <v>0.85</v>
      </c>
      <c r="L64" s="3">
        <f t="shared" si="1"/>
        <v>0.15000000000000002</v>
      </c>
    </row>
    <row r="65" spans="1:12" x14ac:dyDescent="0.3">
      <c r="A65" t="s">
        <v>149</v>
      </c>
      <c r="B65" t="s">
        <v>150</v>
      </c>
      <c r="C65" t="s">
        <v>38</v>
      </c>
      <c r="D65">
        <v>29</v>
      </c>
      <c r="E65">
        <v>22</v>
      </c>
      <c r="F65">
        <v>26</v>
      </c>
      <c r="G65">
        <v>24</v>
      </c>
      <c r="H65">
        <v>20</v>
      </c>
      <c r="I65">
        <v>121</v>
      </c>
      <c r="J65">
        <v>500</v>
      </c>
      <c r="K65" s="2">
        <f t="shared" si="2"/>
        <v>0.24199999999999999</v>
      </c>
      <c r="L65" s="3">
        <f t="shared" si="1"/>
        <v>0.75800000000000001</v>
      </c>
    </row>
    <row r="66" spans="1:12" x14ac:dyDescent="0.3">
      <c r="A66" t="s">
        <v>151</v>
      </c>
      <c r="B66" t="s">
        <v>152</v>
      </c>
      <c r="C66" t="s">
        <v>17</v>
      </c>
      <c r="D66">
        <v>75</v>
      </c>
      <c r="E66">
        <v>82</v>
      </c>
      <c r="F66">
        <v>81</v>
      </c>
      <c r="G66">
        <v>78</v>
      </c>
      <c r="H66">
        <v>80</v>
      </c>
      <c r="I66">
        <v>396</v>
      </c>
      <c r="J66">
        <v>500</v>
      </c>
      <c r="K66" s="2">
        <f t="shared" ref="K66:K97" si="3">I66/J66</f>
        <v>0.79200000000000004</v>
      </c>
      <c r="L66" s="3">
        <f t="shared" ref="L66:L129" si="4">100%-K66</f>
        <v>0.20799999999999996</v>
      </c>
    </row>
    <row r="67" spans="1:12" x14ac:dyDescent="0.3">
      <c r="A67" t="s">
        <v>153</v>
      </c>
      <c r="B67" t="s">
        <v>154</v>
      </c>
      <c r="C67" t="s">
        <v>20</v>
      </c>
      <c r="D67">
        <v>32</v>
      </c>
      <c r="E67">
        <v>25</v>
      </c>
      <c r="F67">
        <v>31</v>
      </c>
      <c r="G67">
        <v>29</v>
      </c>
      <c r="H67">
        <v>30</v>
      </c>
      <c r="I67">
        <v>147</v>
      </c>
      <c r="J67">
        <v>500</v>
      </c>
      <c r="K67" s="2">
        <f t="shared" si="3"/>
        <v>0.29399999999999998</v>
      </c>
      <c r="L67" s="3">
        <f t="shared" si="4"/>
        <v>0.70599999999999996</v>
      </c>
    </row>
    <row r="68" spans="1:12" x14ac:dyDescent="0.3">
      <c r="A68" t="s">
        <v>155</v>
      </c>
      <c r="B68" t="s">
        <v>156</v>
      </c>
      <c r="C68" t="s">
        <v>23</v>
      </c>
      <c r="D68">
        <v>65</v>
      </c>
      <c r="E68">
        <v>58</v>
      </c>
      <c r="F68">
        <v>68</v>
      </c>
      <c r="G68">
        <v>69</v>
      </c>
      <c r="H68">
        <v>60</v>
      </c>
      <c r="I68">
        <v>320</v>
      </c>
      <c r="J68">
        <v>500</v>
      </c>
      <c r="K68" s="2">
        <f t="shared" si="3"/>
        <v>0.64</v>
      </c>
      <c r="L68" s="3">
        <f t="shared" si="4"/>
        <v>0.36</v>
      </c>
    </row>
    <row r="69" spans="1:12" x14ac:dyDescent="0.3">
      <c r="A69" t="s">
        <v>157</v>
      </c>
      <c r="B69" t="s">
        <v>158</v>
      </c>
      <c r="C69" t="s">
        <v>26</v>
      </c>
      <c r="D69">
        <v>98</v>
      </c>
      <c r="E69">
        <v>91</v>
      </c>
      <c r="F69">
        <v>95</v>
      </c>
      <c r="G69">
        <v>93</v>
      </c>
      <c r="H69">
        <v>99</v>
      </c>
      <c r="I69">
        <v>476</v>
      </c>
      <c r="J69">
        <v>500</v>
      </c>
      <c r="K69" s="2">
        <f t="shared" si="3"/>
        <v>0.95199999999999996</v>
      </c>
      <c r="L69" s="3">
        <f t="shared" si="4"/>
        <v>4.8000000000000043E-2</v>
      </c>
    </row>
    <row r="70" spans="1:12" x14ac:dyDescent="0.3">
      <c r="A70" t="s">
        <v>159</v>
      </c>
      <c r="B70" t="s">
        <v>160</v>
      </c>
      <c r="C70" t="s">
        <v>29</v>
      </c>
      <c r="D70">
        <v>55</v>
      </c>
      <c r="E70">
        <v>49</v>
      </c>
      <c r="F70">
        <v>58</v>
      </c>
      <c r="G70">
        <v>58</v>
      </c>
      <c r="H70">
        <v>52</v>
      </c>
      <c r="I70">
        <v>272</v>
      </c>
      <c r="J70">
        <v>500</v>
      </c>
      <c r="K70" s="2">
        <f t="shared" si="3"/>
        <v>0.54400000000000004</v>
      </c>
      <c r="L70" s="3">
        <f t="shared" si="4"/>
        <v>0.45599999999999996</v>
      </c>
    </row>
    <row r="71" spans="1:12" x14ac:dyDescent="0.3">
      <c r="A71" t="s">
        <v>161</v>
      </c>
      <c r="B71" t="s">
        <v>162</v>
      </c>
      <c r="C71" t="s">
        <v>32</v>
      </c>
      <c r="D71">
        <v>81</v>
      </c>
      <c r="E71">
        <v>88</v>
      </c>
      <c r="F71">
        <v>87</v>
      </c>
      <c r="G71">
        <v>84</v>
      </c>
      <c r="H71">
        <v>80</v>
      </c>
      <c r="I71">
        <v>420</v>
      </c>
      <c r="J71">
        <v>500</v>
      </c>
      <c r="K71" s="2">
        <f t="shared" si="3"/>
        <v>0.84</v>
      </c>
      <c r="L71" s="3">
        <f t="shared" si="4"/>
        <v>0.16000000000000003</v>
      </c>
    </row>
    <row r="72" spans="1:12" x14ac:dyDescent="0.3">
      <c r="A72" t="s">
        <v>163</v>
      </c>
      <c r="B72" t="s">
        <v>164</v>
      </c>
      <c r="C72" t="s">
        <v>35</v>
      </c>
      <c r="D72">
        <v>17</v>
      </c>
      <c r="E72">
        <v>19</v>
      </c>
      <c r="F72">
        <v>28</v>
      </c>
      <c r="G72">
        <v>25</v>
      </c>
      <c r="H72">
        <v>21</v>
      </c>
      <c r="I72">
        <v>110</v>
      </c>
      <c r="J72">
        <v>500</v>
      </c>
      <c r="K72" s="2">
        <f t="shared" si="3"/>
        <v>0.22</v>
      </c>
      <c r="L72" s="3">
        <f t="shared" si="4"/>
        <v>0.78</v>
      </c>
    </row>
    <row r="73" spans="1:12" x14ac:dyDescent="0.3">
      <c r="A73" t="s">
        <v>165</v>
      </c>
      <c r="B73" t="s">
        <v>166</v>
      </c>
      <c r="C73" t="s">
        <v>38</v>
      </c>
      <c r="D73">
        <v>78</v>
      </c>
      <c r="E73">
        <v>81</v>
      </c>
      <c r="F73">
        <v>75</v>
      </c>
      <c r="G73">
        <v>82</v>
      </c>
      <c r="H73">
        <v>79</v>
      </c>
      <c r="I73">
        <v>395</v>
      </c>
      <c r="J73">
        <v>500</v>
      </c>
      <c r="K73" s="2">
        <f t="shared" si="3"/>
        <v>0.79</v>
      </c>
      <c r="L73" s="3">
        <f t="shared" si="4"/>
        <v>0.20999999999999996</v>
      </c>
    </row>
    <row r="74" spans="1:12" x14ac:dyDescent="0.3">
      <c r="A74" t="s">
        <v>167</v>
      </c>
      <c r="B74" t="s">
        <v>168</v>
      </c>
      <c r="C74" t="s">
        <v>17</v>
      </c>
      <c r="D74">
        <v>91</v>
      </c>
      <c r="E74">
        <v>85</v>
      </c>
      <c r="F74">
        <v>95</v>
      </c>
      <c r="G74">
        <v>88</v>
      </c>
      <c r="H74">
        <v>92</v>
      </c>
      <c r="I74">
        <v>451</v>
      </c>
      <c r="J74">
        <v>500</v>
      </c>
      <c r="K74" s="2">
        <f t="shared" si="3"/>
        <v>0.90200000000000002</v>
      </c>
      <c r="L74" s="3">
        <f t="shared" si="4"/>
        <v>9.7999999999999976E-2</v>
      </c>
    </row>
    <row r="75" spans="1:12" x14ac:dyDescent="0.3">
      <c r="A75" t="s">
        <v>169</v>
      </c>
      <c r="B75" t="s">
        <v>170</v>
      </c>
      <c r="C75" t="s">
        <v>20</v>
      </c>
      <c r="D75">
        <v>47</v>
      </c>
      <c r="E75">
        <v>42</v>
      </c>
      <c r="F75">
        <v>45</v>
      </c>
      <c r="G75">
        <v>41</v>
      </c>
      <c r="H75">
        <v>48</v>
      </c>
      <c r="I75">
        <v>223</v>
      </c>
      <c r="J75">
        <v>500</v>
      </c>
      <c r="K75" s="2">
        <f t="shared" si="3"/>
        <v>0.44600000000000001</v>
      </c>
      <c r="L75" s="3">
        <f t="shared" si="4"/>
        <v>0.55400000000000005</v>
      </c>
    </row>
    <row r="76" spans="1:12" x14ac:dyDescent="0.3">
      <c r="A76" t="s">
        <v>171</v>
      </c>
      <c r="B76" t="s">
        <v>172</v>
      </c>
      <c r="C76" t="s">
        <v>23</v>
      </c>
      <c r="D76">
        <v>78</v>
      </c>
      <c r="E76">
        <v>75</v>
      </c>
      <c r="F76">
        <v>83</v>
      </c>
      <c r="G76">
        <v>80</v>
      </c>
      <c r="H76">
        <v>77</v>
      </c>
      <c r="I76">
        <v>393</v>
      </c>
      <c r="J76">
        <v>500</v>
      </c>
      <c r="K76" s="2">
        <f t="shared" si="3"/>
        <v>0.78600000000000003</v>
      </c>
      <c r="L76" s="3">
        <f t="shared" si="4"/>
        <v>0.21399999999999997</v>
      </c>
    </row>
    <row r="77" spans="1:12" x14ac:dyDescent="0.3">
      <c r="A77" t="s">
        <v>173</v>
      </c>
      <c r="B77" t="s">
        <v>174</v>
      </c>
      <c r="C77" t="s">
        <v>26</v>
      </c>
      <c r="D77">
        <v>33</v>
      </c>
      <c r="E77">
        <v>36</v>
      </c>
      <c r="F77">
        <v>30</v>
      </c>
      <c r="G77">
        <v>38</v>
      </c>
      <c r="H77">
        <v>34</v>
      </c>
      <c r="I77">
        <v>161</v>
      </c>
      <c r="J77">
        <v>500</v>
      </c>
      <c r="K77" s="2">
        <f t="shared" si="3"/>
        <v>0.32200000000000001</v>
      </c>
      <c r="L77" s="3">
        <f t="shared" si="4"/>
        <v>0.67799999999999994</v>
      </c>
    </row>
    <row r="78" spans="1:12" x14ac:dyDescent="0.3">
      <c r="A78" t="s">
        <v>175</v>
      </c>
      <c r="B78" t="s">
        <v>176</v>
      </c>
      <c r="C78" t="s">
        <v>29</v>
      </c>
      <c r="D78">
        <v>78</v>
      </c>
      <c r="E78">
        <v>75</v>
      </c>
      <c r="F78">
        <v>82</v>
      </c>
      <c r="G78">
        <v>80</v>
      </c>
      <c r="H78">
        <v>79</v>
      </c>
      <c r="I78">
        <v>394</v>
      </c>
      <c r="J78">
        <v>500</v>
      </c>
      <c r="K78" s="2">
        <f t="shared" si="3"/>
        <v>0.78800000000000003</v>
      </c>
      <c r="L78" s="3">
        <f t="shared" si="4"/>
        <v>0.21199999999999997</v>
      </c>
    </row>
    <row r="79" spans="1:12" x14ac:dyDescent="0.3">
      <c r="A79" t="s">
        <v>177</v>
      </c>
      <c r="B79" t="s">
        <v>178</v>
      </c>
      <c r="C79" t="s">
        <v>32</v>
      </c>
      <c r="D79">
        <v>95</v>
      </c>
      <c r="E79">
        <v>92</v>
      </c>
      <c r="F79">
        <v>90</v>
      </c>
      <c r="G79">
        <v>98</v>
      </c>
      <c r="H79">
        <v>96</v>
      </c>
      <c r="I79">
        <v>471</v>
      </c>
      <c r="J79">
        <v>500</v>
      </c>
      <c r="K79" s="2">
        <f t="shared" si="3"/>
        <v>0.94199999999999995</v>
      </c>
      <c r="L79" s="3">
        <f t="shared" si="4"/>
        <v>5.8000000000000052E-2</v>
      </c>
    </row>
    <row r="80" spans="1:12" x14ac:dyDescent="0.3">
      <c r="A80" t="s">
        <v>179</v>
      </c>
      <c r="B80" t="s">
        <v>180</v>
      </c>
      <c r="C80" t="s">
        <v>35</v>
      </c>
      <c r="D80">
        <v>28</v>
      </c>
      <c r="E80">
        <v>25</v>
      </c>
      <c r="F80">
        <v>33</v>
      </c>
      <c r="G80">
        <v>30</v>
      </c>
      <c r="H80">
        <v>27</v>
      </c>
      <c r="I80">
        <v>143</v>
      </c>
      <c r="J80">
        <v>500</v>
      </c>
      <c r="K80" s="2">
        <f t="shared" si="3"/>
        <v>0.28599999999999998</v>
      </c>
      <c r="L80" s="3">
        <f t="shared" si="4"/>
        <v>0.71399999999999997</v>
      </c>
    </row>
    <row r="81" spans="1:12" x14ac:dyDescent="0.3">
      <c r="A81" t="s">
        <v>181</v>
      </c>
      <c r="B81" t="s">
        <v>182</v>
      </c>
      <c r="C81" t="s">
        <v>38</v>
      </c>
      <c r="D81">
        <v>82</v>
      </c>
      <c r="E81">
        <v>85</v>
      </c>
      <c r="F81">
        <v>79</v>
      </c>
      <c r="G81">
        <v>87</v>
      </c>
      <c r="H81">
        <v>83</v>
      </c>
      <c r="I81">
        <v>416</v>
      </c>
      <c r="J81">
        <v>500</v>
      </c>
      <c r="K81" s="2">
        <f t="shared" si="3"/>
        <v>0.83199999999999996</v>
      </c>
      <c r="L81" s="3">
        <f t="shared" si="4"/>
        <v>0.16800000000000004</v>
      </c>
    </row>
    <row r="82" spans="1:12" x14ac:dyDescent="0.3">
      <c r="A82" t="s">
        <v>183</v>
      </c>
      <c r="B82" t="s">
        <v>184</v>
      </c>
      <c r="C82" t="s">
        <v>17</v>
      </c>
      <c r="D82">
        <v>99</v>
      </c>
      <c r="E82">
        <v>92</v>
      </c>
      <c r="F82">
        <v>93</v>
      </c>
      <c r="G82">
        <v>96</v>
      </c>
      <c r="H82">
        <v>90</v>
      </c>
      <c r="I82">
        <v>470</v>
      </c>
      <c r="J82">
        <v>500</v>
      </c>
      <c r="K82" s="2">
        <f t="shared" si="3"/>
        <v>0.94</v>
      </c>
      <c r="L82" s="3">
        <f t="shared" si="4"/>
        <v>6.0000000000000053E-2</v>
      </c>
    </row>
    <row r="83" spans="1:12" x14ac:dyDescent="0.3">
      <c r="A83" t="s">
        <v>185</v>
      </c>
      <c r="B83" t="s">
        <v>186</v>
      </c>
      <c r="C83" t="s">
        <v>20</v>
      </c>
      <c r="D83">
        <v>50</v>
      </c>
      <c r="E83">
        <v>48</v>
      </c>
      <c r="F83">
        <v>58</v>
      </c>
      <c r="G83">
        <v>55</v>
      </c>
      <c r="H83">
        <v>52</v>
      </c>
      <c r="I83">
        <v>253</v>
      </c>
      <c r="J83">
        <v>500</v>
      </c>
      <c r="K83" s="2">
        <f t="shared" si="3"/>
        <v>0.50600000000000001</v>
      </c>
      <c r="L83" s="3">
        <f t="shared" si="4"/>
        <v>0.49399999999999999</v>
      </c>
    </row>
    <row r="84" spans="1:12" x14ac:dyDescent="0.3">
      <c r="A84" t="s">
        <v>187</v>
      </c>
      <c r="B84" t="s">
        <v>188</v>
      </c>
      <c r="C84" t="s">
        <v>23</v>
      </c>
      <c r="D84">
        <v>90</v>
      </c>
      <c r="E84">
        <v>87</v>
      </c>
      <c r="F84">
        <v>96</v>
      </c>
      <c r="G84">
        <v>93</v>
      </c>
      <c r="H84">
        <v>89</v>
      </c>
      <c r="I84">
        <v>455</v>
      </c>
      <c r="J84">
        <v>500</v>
      </c>
      <c r="K84" s="2">
        <f t="shared" si="3"/>
        <v>0.91</v>
      </c>
      <c r="L84" s="3">
        <f t="shared" si="4"/>
        <v>8.9999999999999969E-2</v>
      </c>
    </row>
    <row r="85" spans="1:12" x14ac:dyDescent="0.3">
      <c r="A85" t="s">
        <v>189</v>
      </c>
      <c r="B85" t="s">
        <v>190</v>
      </c>
      <c r="C85" t="s">
        <v>26</v>
      </c>
      <c r="D85">
        <v>39</v>
      </c>
      <c r="E85">
        <v>32</v>
      </c>
      <c r="F85">
        <v>36</v>
      </c>
      <c r="G85">
        <v>34</v>
      </c>
      <c r="H85">
        <v>30</v>
      </c>
      <c r="I85">
        <v>171</v>
      </c>
      <c r="J85">
        <v>500</v>
      </c>
      <c r="K85" s="2">
        <f t="shared" si="3"/>
        <v>0.34200000000000003</v>
      </c>
      <c r="L85" s="3">
        <f t="shared" si="4"/>
        <v>0.65799999999999992</v>
      </c>
    </row>
    <row r="86" spans="1:12" x14ac:dyDescent="0.3">
      <c r="A86" t="s">
        <v>191</v>
      </c>
      <c r="B86" t="s">
        <v>192</v>
      </c>
      <c r="C86" t="s">
        <v>29</v>
      </c>
      <c r="D86">
        <v>80</v>
      </c>
      <c r="E86">
        <v>87</v>
      </c>
      <c r="F86">
        <v>86</v>
      </c>
      <c r="G86">
        <v>83</v>
      </c>
      <c r="H86">
        <v>89</v>
      </c>
      <c r="I86">
        <v>425</v>
      </c>
      <c r="J86">
        <v>500</v>
      </c>
      <c r="K86" s="2">
        <f t="shared" si="3"/>
        <v>0.85</v>
      </c>
      <c r="L86" s="3">
        <f t="shared" si="4"/>
        <v>0.15000000000000002</v>
      </c>
    </row>
    <row r="87" spans="1:12" x14ac:dyDescent="0.3">
      <c r="A87" t="s">
        <v>193</v>
      </c>
      <c r="B87" t="s">
        <v>194</v>
      </c>
      <c r="C87" t="s">
        <v>32</v>
      </c>
      <c r="D87">
        <v>29</v>
      </c>
      <c r="E87">
        <v>22</v>
      </c>
      <c r="F87">
        <v>26</v>
      </c>
      <c r="G87">
        <v>24</v>
      </c>
      <c r="H87">
        <v>20</v>
      </c>
      <c r="I87">
        <v>121</v>
      </c>
      <c r="J87">
        <v>500</v>
      </c>
      <c r="K87" s="2">
        <f t="shared" si="3"/>
        <v>0.24199999999999999</v>
      </c>
      <c r="L87" s="3">
        <f t="shared" si="4"/>
        <v>0.75800000000000001</v>
      </c>
    </row>
    <row r="88" spans="1:12" x14ac:dyDescent="0.3">
      <c r="A88" t="s">
        <v>195</v>
      </c>
      <c r="B88" t="s">
        <v>196</v>
      </c>
      <c r="C88" t="s">
        <v>35</v>
      </c>
      <c r="D88">
        <v>75</v>
      </c>
      <c r="E88">
        <v>82</v>
      </c>
      <c r="F88">
        <v>81</v>
      </c>
      <c r="G88">
        <v>78</v>
      </c>
      <c r="H88">
        <v>80</v>
      </c>
      <c r="I88">
        <v>396</v>
      </c>
      <c r="J88">
        <v>500</v>
      </c>
      <c r="K88" s="2">
        <f t="shared" si="3"/>
        <v>0.79200000000000004</v>
      </c>
      <c r="L88" s="3">
        <f t="shared" si="4"/>
        <v>0.20799999999999996</v>
      </c>
    </row>
    <row r="89" spans="1:12" x14ac:dyDescent="0.3">
      <c r="A89" t="s">
        <v>197</v>
      </c>
      <c r="B89" t="s">
        <v>198</v>
      </c>
      <c r="C89" t="s">
        <v>38</v>
      </c>
      <c r="D89">
        <v>32</v>
      </c>
      <c r="E89">
        <v>25</v>
      </c>
      <c r="F89">
        <v>31</v>
      </c>
      <c r="G89">
        <v>29</v>
      </c>
      <c r="H89">
        <v>30</v>
      </c>
      <c r="I89">
        <v>147</v>
      </c>
      <c r="J89">
        <v>500</v>
      </c>
      <c r="K89" s="2">
        <f t="shared" si="3"/>
        <v>0.29399999999999998</v>
      </c>
      <c r="L89" s="3">
        <f t="shared" si="4"/>
        <v>0.70599999999999996</v>
      </c>
    </row>
    <row r="90" spans="1:12" x14ac:dyDescent="0.3">
      <c r="A90" t="s">
        <v>199</v>
      </c>
      <c r="B90" t="s">
        <v>200</v>
      </c>
      <c r="C90" t="s">
        <v>17</v>
      </c>
      <c r="D90">
        <v>65</v>
      </c>
      <c r="E90">
        <v>58</v>
      </c>
      <c r="F90">
        <v>68</v>
      </c>
      <c r="G90">
        <v>69</v>
      </c>
      <c r="H90">
        <v>60</v>
      </c>
      <c r="I90">
        <v>320</v>
      </c>
      <c r="J90">
        <v>500</v>
      </c>
      <c r="K90" s="2">
        <f t="shared" si="3"/>
        <v>0.64</v>
      </c>
      <c r="L90" s="3">
        <f t="shared" si="4"/>
        <v>0.36</v>
      </c>
    </row>
    <row r="91" spans="1:12" x14ac:dyDescent="0.3">
      <c r="A91" t="s">
        <v>201</v>
      </c>
      <c r="B91" t="s">
        <v>202</v>
      </c>
      <c r="C91" t="s">
        <v>20</v>
      </c>
      <c r="D91">
        <v>98</v>
      </c>
      <c r="E91">
        <v>91</v>
      </c>
      <c r="F91">
        <v>95</v>
      </c>
      <c r="G91">
        <v>93</v>
      </c>
      <c r="H91">
        <v>99</v>
      </c>
      <c r="I91">
        <v>476</v>
      </c>
      <c r="J91">
        <v>500</v>
      </c>
      <c r="K91" s="2">
        <f t="shared" si="3"/>
        <v>0.95199999999999996</v>
      </c>
      <c r="L91" s="3">
        <f t="shared" si="4"/>
        <v>4.8000000000000043E-2</v>
      </c>
    </row>
    <row r="92" spans="1:12" x14ac:dyDescent="0.3">
      <c r="A92" t="s">
        <v>203</v>
      </c>
      <c r="B92" t="s">
        <v>204</v>
      </c>
      <c r="C92" t="s">
        <v>23</v>
      </c>
      <c r="D92">
        <v>55</v>
      </c>
      <c r="E92">
        <v>49</v>
      </c>
      <c r="F92">
        <v>58</v>
      </c>
      <c r="G92">
        <v>58</v>
      </c>
      <c r="H92">
        <v>52</v>
      </c>
      <c r="I92">
        <v>272</v>
      </c>
      <c r="J92">
        <v>500</v>
      </c>
      <c r="K92" s="2">
        <f t="shared" si="3"/>
        <v>0.54400000000000004</v>
      </c>
      <c r="L92" s="3">
        <f t="shared" si="4"/>
        <v>0.45599999999999996</v>
      </c>
    </row>
    <row r="93" spans="1:12" x14ac:dyDescent="0.3">
      <c r="A93" t="s">
        <v>205</v>
      </c>
      <c r="B93" t="s">
        <v>206</v>
      </c>
      <c r="C93" t="s">
        <v>26</v>
      </c>
      <c r="D93">
        <v>81</v>
      </c>
      <c r="E93">
        <v>88</v>
      </c>
      <c r="F93">
        <v>87</v>
      </c>
      <c r="G93">
        <v>84</v>
      </c>
      <c r="H93">
        <v>80</v>
      </c>
      <c r="I93">
        <v>420</v>
      </c>
      <c r="J93">
        <v>500</v>
      </c>
      <c r="K93" s="2">
        <f t="shared" si="3"/>
        <v>0.84</v>
      </c>
      <c r="L93" s="3">
        <f t="shared" si="4"/>
        <v>0.16000000000000003</v>
      </c>
    </row>
    <row r="94" spans="1:12" x14ac:dyDescent="0.3">
      <c r="A94" t="s">
        <v>207</v>
      </c>
      <c r="B94" t="s">
        <v>208</v>
      </c>
      <c r="C94" t="s">
        <v>29</v>
      </c>
      <c r="D94">
        <v>17</v>
      </c>
      <c r="E94">
        <v>19</v>
      </c>
      <c r="F94">
        <v>28</v>
      </c>
      <c r="G94">
        <v>25</v>
      </c>
      <c r="H94">
        <v>21</v>
      </c>
      <c r="I94">
        <v>110</v>
      </c>
      <c r="J94">
        <v>500</v>
      </c>
      <c r="K94" s="2">
        <f t="shared" si="3"/>
        <v>0.22</v>
      </c>
      <c r="L94" s="3">
        <f t="shared" si="4"/>
        <v>0.78</v>
      </c>
    </row>
    <row r="95" spans="1:12" x14ac:dyDescent="0.3">
      <c r="A95" t="s">
        <v>209</v>
      </c>
      <c r="B95" t="s">
        <v>210</v>
      </c>
      <c r="C95" t="s">
        <v>32</v>
      </c>
      <c r="D95">
        <v>78</v>
      </c>
      <c r="E95">
        <v>81</v>
      </c>
      <c r="F95">
        <v>75</v>
      </c>
      <c r="G95">
        <v>82</v>
      </c>
      <c r="H95">
        <v>79</v>
      </c>
      <c r="I95">
        <v>395</v>
      </c>
      <c r="J95">
        <v>500</v>
      </c>
      <c r="K95" s="2">
        <f t="shared" si="3"/>
        <v>0.79</v>
      </c>
      <c r="L95" s="3">
        <f t="shared" si="4"/>
        <v>0.20999999999999996</v>
      </c>
    </row>
    <row r="96" spans="1:12" x14ac:dyDescent="0.3">
      <c r="A96" t="s">
        <v>211</v>
      </c>
      <c r="B96" t="s">
        <v>212</v>
      </c>
      <c r="C96" t="s">
        <v>35</v>
      </c>
      <c r="D96">
        <v>91</v>
      </c>
      <c r="E96">
        <v>85</v>
      </c>
      <c r="F96">
        <v>95</v>
      </c>
      <c r="G96">
        <v>88</v>
      </c>
      <c r="H96">
        <v>92</v>
      </c>
      <c r="I96">
        <v>451</v>
      </c>
      <c r="J96">
        <v>500</v>
      </c>
      <c r="K96" s="2">
        <f t="shared" si="3"/>
        <v>0.90200000000000002</v>
      </c>
      <c r="L96" s="3">
        <f t="shared" si="4"/>
        <v>9.7999999999999976E-2</v>
      </c>
    </row>
    <row r="97" spans="1:12" x14ac:dyDescent="0.3">
      <c r="A97" t="s">
        <v>213</v>
      </c>
      <c r="B97" t="s">
        <v>214</v>
      </c>
      <c r="C97" t="s">
        <v>38</v>
      </c>
      <c r="D97">
        <v>47</v>
      </c>
      <c r="E97">
        <v>42</v>
      </c>
      <c r="F97">
        <v>45</v>
      </c>
      <c r="G97">
        <v>41</v>
      </c>
      <c r="H97">
        <v>48</v>
      </c>
      <c r="I97">
        <v>223</v>
      </c>
      <c r="J97">
        <v>500</v>
      </c>
      <c r="K97" s="2">
        <f t="shared" si="3"/>
        <v>0.44600000000000001</v>
      </c>
      <c r="L97" s="3">
        <f t="shared" si="4"/>
        <v>0.55400000000000005</v>
      </c>
    </row>
    <row r="98" spans="1:12" x14ac:dyDescent="0.3">
      <c r="A98" t="s">
        <v>215</v>
      </c>
      <c r="B98" t="s">
        <v>216</v>
      </c>
      <c r="C98" t="s">
        <v>17</v>
      </c>
      <c r="D98">
        <v>78</v>
      </c>
      <c r="E98">
        <v>75</v>
      </c>
      <c r="F98">
        <v>83</v>
      </c>
      <c r="G98">
        <v>80</v>
      </c>
      <c r="H98">
        <v>77</v>
      </c>
      <c r="I98">
        <v>393</v>
      </c>
      <c r="J98">
        <v>500</v>
      </c>
      <c r="K98" s="2">
        <f t="shared" ref="K98:K129" si="5">I98/J98</f>
        <v>0.78600000000000003</v>
      </c>
      <c r="L98" s="3">
        <f t="shared" si="4"/>
        <v>0.21399999999999997</v>
      </c>
    </row>
    <row r="99" spans="1:12" x14ac:dyDescent="0.3">
      <c r="A99" t="s">
        <v>217</v>
      </c>
      <c r="B99" t="s">
        <v>218</v>
      </c>
      <c r="C99" t="s">
        <v>20</v>
      </c>
      <c r="D99">
        <v>33</v>
      </c>
      <c r="E99">
        <v>36</v>
      </c>
      <c r="F99">
        <v>30</v>
      </c>
      <c r="G99">
        <v>38</v>
      </c>
      <c r="H99">
        <v>34</v>
      </c>
      <c r="I99">
        <v>161</v>
      </c>
      <c r="J99">
        <v>500</v>
      </c>
      <c r="K99" s="2">
        <f t="shared" si="5"/>
        <v>0.32200000000000001</v>
      </c>
      <c r="L99" s="3">
        <f t="shared" si="4"/>
        <v>0.67799999999999994</v>
      </c>
    </row>
    <row r="100" spans="1:12" x14ac:dyDescent="0.3">
      <c r="A100" t="s">
        <v>219</v>
      </c>
      <c r="B100" t="s">
        <v>220</v>
      </c>
      <c r="C100" t="s">
        <v>23</v>
      </c>
      <c r="D100">
        <v>78</v>
      </c>
      <c r="E100">
        <v>75</v>
      </c>
      <c r="F100">
        <v>82</v>
      </c>
      <c r="G100">
        <v>80</v>
      </c>
      <c r="H100">
        <v>79</v>
      </c>
      <c r="I100">
        <v>394</v>
      </c>
      <c r="J100">
        <v>500</v>
      </c>
      <c r="K100" s="2">
        <f t="shared" si="5"/>
        <v>0.78800000000000003</v>
      </c>
      <c r="L100" s="3">
        <f t="shared" si="4"/>
        <v>0.21199999999999997</v>
      </c>
    </row>
    <row r="101" spans="1:12" x14ac:dyDescent="0.3">
      <c r="A101" t="s">
        <v>221</v>
      </c>
      <c r="B101" t="s">
        <v>222</v>
      </c>
      <c r="C101" t="s">
        <v>26</v>
      </c>
      <c r="D101">
        <v>95</v>
      </c>
      <c r="E101">
        <v>92</v>
      </c>
      <c r="F101">
        <v>90</v>
      </c>
      <c r="G101">
        <v>98</v>
      </c>
      <c r="H101">
        <v>96</v>
      </c>
      <c r="I101">
        <v>471</v>
      </c>
      <c r="J101">
        <v>500</v>
      </c>
      <c r="K101" s="2">
        <f t="shared" si="5"/>
        <v>0.94199999999999995</v>
      </c>
      <c r="L101" s="3">
        <f t="shared" si="4"/>
        <v>5.8000000000000052E-2</v>
      </c>
    </row>
    <row r="102" spans="1:12" x14ac:dyDescent="0.3">
      <c r="A102" t="s">
        <v>223</v>
      </c>
      <c r="B102" t="s">
        <v>224</v>
      </c>
      <c r="C102" t="s">
        <v>29</v>
      </c>
      <c r="D102">
        <v>28</v>
      </c>
      <c r="E102">
        <v>25</v>
      </c>
      <c r="F102">
        <v>33</v>
      </c>
      <c r="G102">
        <v>30</v>
      </c>
      <c r="H102">
        <v>27</v>
      </c>
      <c r="I102">
        <v>143</v>
      </c>
      <c r="J102">
        <v>500</v>
      </c>
      <c r="K102" s="2">
        <f t="shared" si="5"/>
        <v>0.28599999999999998</v>
      </c>
      <c r="L102" s="3">
        <f t="shared" si="4"/>
        <v>0.71399999999999997</v>
      </c>
    </row>
    <row r="103" spans="1:12" x14ac:dyDescent="0.3">
      <c r="A103" t="s">
        <v>225</v>
      </c>
      <c r="B103" t="s">
        <v>226</v>
      </c>
      <c r="C103" t="s">
        <v>32</v>
      </c>
      <c r="D103">
        <v>82</v>
      </c>
      <c r="E103">
        <v>85</v>
      </c>
      <c r="F103">
        <v>79</v>
      </c>
      <c r="G103">
        <v>87</v>
      </c>
      <c r="H103">
        <v>83</v>
      </c>
      <c r="I103">
        <v>416</v>
      </c>
      <c r="J103">
        <v>500</v>
      </c>
      <c r="K103" s="2">
        <f t="shared" si="5"/>
        <v>0.83199999999999996</v>
      </c>
      <c r="L103" s="3">
        <f t="shared" si="4"/>
        <v>0.16800000000000004</v>
      </c>
    </row>
    <row r="104" spans="1:12" x14ac:dyDescent="0.3">
      <c r="A104" t="s">
        <v>227</v>
      </c>
      <c r="B104" t="s">
        <v>228</v>
      </c>
      <c r="C104" t="s">
        <v>35</v>
      </c>
      <c r="D104">
        <v>99</v>
      </c>
      <c r="E104">
        <v>92</v>
      </c>
      <c r="F104">
        <v>93</v>
      </c>
      <c r="G104">
        <v>96</v>
      </c>
      <c r="H104">
        <v>90</v>
      </c>
      <c r="I104">
        <v>470</v>
      </c>
      <c r="J104">
        <v>500</v>
      </c>
      <c r="K104" s="2">
        <f t="shared" si="5"/>
        <v>0.94</v>
      </c>
      <c r="L104" s="3">
        <f t="shared" si="4"/>
        <v>6.0000000000000053E-2</v>
      </c>
    </row>
    <row r="105" spans="1:12" x14ac:dyDescent="0.3">
      <c r="A105" t="s">
        <v>229</v>
      </c>
      <c r="B105" t="s">
        <v>230</v>
      </c>
      <c r="C105" t="s">
        <v>38</v>
      </c>
      <c r="D105">
        <v>50</v>
      </c>
      <c r="E105">
        <v>48</v>
      </c>
      <c r="F105">
        <v>58</v>
      </c>
      <c r="G105">
        <v>55</v>
      </c>
      <c r="H105">
        <v>52</v>
      </c>
      <c r="I105">
        <v>253</v>
      </c>
      <c r="J105">
        <v>500</v>
      </c>
      <c r="K105" s="2">
        <f t="shared" si="5"/>
        <v>0.50600000000000001</v>
      </c>
      <c r="L105" s="3">
        <f t="shared" si="4"/>
        <v>0.49399999999999999</v>
      </c>
    </row>
    <row r="106" spans="1:12" x14ac:dyDescent="0.3">
      <c r="A106" t="s">
        <v>231</v>
      </c>
      <c r="B106" t="s">
        <v>232</v>
      </c>
      <c r="C106" t="s">
        <v>17</v>
      </c>
      <c r="D106">
        <v>90</v>
      </c>
      <c r="E106">
        <v>87</v>
      </c>
      <c r="F106">
        <v>96</v>
      </c>
      <c r="G106">
        <v>93</v>
      </c>
      <c r="H106">
        <v>89</v>
      </c>
      <c r="I106">
        <v>455</v>
      </c>
      <c r="J106">
        <v>500</v>
      </c>
      <c r="K106" s="2">
        <f t="shared" si="5"/>
        <v>0.91</v>
      </c>
      <c r="L106" s="3">
        <f t="shared" si="4"/>
        <v>8.9999999999999969E-2</v>
      </c>
    </row>
    <row r="107" spans="1:12" x14ac:dyDescent="0.3">
      <c r="A107" t="s">
        <v>233</v>
      </c>
      <c r="B107" t="s">
        <v>130</v>
      </c>
      <c r="C107" t="s">
        <v>20</v>
      </c>
      <c r="D107">
        <v>39</v>
      </c>
      <c r="E107">
        <v>32</v>
      </c>
      <c r="F107">
        <v>36</v>
      </c>
      <c r="G107">
        <v>34</v>
      </c>
      <c r="H107">
        <v>30</v>
      </c>
      <c r="I107">
        <v>171</v>
      </c>
      <c r="J107">
        <v>500</v>
      </c>
      <c r="K107" s="2">
        <f t="shared" si="5"/>
        <v>0.34200000000000003</v>
      </c>
      <c r="L107" s="3">
        <f t="shared" si="4"/>
        <v>0.65799999999999992</v>
      </c>
    </row>
    <row r="108" spans="1:12" x14ac:dyDescent="0.3">
      <c r="A108" t="s">
        <v>234</v>
      </c>
      <c r="B108" t="s">
        <v>235</v>
      </c>
      <c r="C108" t="s">
        <v>23</v>
      </c>
      <c r="D108">
        <v>80</v>
      </c>
      <c r="E108">
        <v>87</v>
      </c>
      <c r="F108">
        <v>86</v>
      </c>
      <c r="G108">
        <v>83</v>
      </c>
      <c r="H108">
        <v>89</v>
      </c>
      <c r="I108">
        <v>425</v>
      </c>
      <c r="J108">
        <v>500</v>
      </c>
      <c r="K108" s="2">
        <f t="shared" si="5"/>
        <v>0.85</v>
      </c>
      <c r="L108" s="3">
        <f t="shared" si="4"/>
        <v>0.15000000000000002</v>
      </c>
    </row>
    <row r="109" spans="1:12" x14ac:dyDescent="0.3">
      <c r="A109" t="s">
        <v>236</v>
      </c>
      <c r="B109" t="s">
        <v>237</v>
      </c>
      <c r="C109" t="s">
        <v>26</v>
      </c>
      <c r="D109">
        <v>29</v>
      </c>
      <c r="E109">
        <v>22</v>
      </c>
      <c r="F109">
        <v>26</v>
      </c>
      <c r="G109">
        <v>24</v>
      </c>
      <c r="H109">
        <v>20</v>
      </c>
      <c r="I109">
        <v>121</v>
      </c>
      <c r="J109">
        <v>500</v>
      </c>
      <c r="K109" s="2">
        <f t="shared" si="5"/>
        <v>0.24199999999999999</v>
      </c>
      <c r="L109" s="3">
        <f t="shared" si="4"/>
        <v>0.75800000000000001</v>
      </c>
    </row>
    <row r="110" spans="1:12" x14ac:dyDescent="0.3">
      <c r="A110" t="s">
        <v>238</v>
      </c>
      <c r="B110" t="s">
        <v>239</v>
      </c>
      <c r="C110" t="s">
        <v>29</v>
      </c>
      <c r="D110">
        <v>75</v>
      </c>
      <c r="E110">
        <v>82</v>
      </c>
      <c r="F110">
        <v>81</v>
      </c>
      <c r="G110">
        <v>78</v>
      </c>
      <c r="H110">
        <v>80</v>
      </c>
      <c r="I110">
        <v>396</v>
      </c>
      <c r="J110">
        <v>500</v>
      </c>
      <c r="K110" s="2">
        <f t="shared" si="5"/>
        <v>0.79200000000000004</v>
      </c>
      <c r="L110" s="3">
        <f t="shared" si="4"/>
        <v>0.20799999999999996</v>
      </c>
    </row>
    <row r="111" spans="1:12" x14ac:dyDescent="0.3">
      <c r="A111" t="s">
        <v>240</v>
      </c>
      <c r="B111" t="s">
        <v>241</v>
      </c>
      <c r="C111" t="s">
        <v>32</v>
      </c>
      <c r="D111">
        <v>32</v>
      </c>
      <c r="E111">
        <v>25</v>
      </c>
      <c r="F111">
        <v>31</v>
      </c>
      <c r="G111">
        <v>29</v>
      </c>
      <c r="H111">
        <v>30</v>
      </c>
      <c r="I111">
        <v>147</v>
      </c>
      <c r="J111">
        <v>500</v>
      </c>
      <c r="K111" s="2">
        <f t="shared" si="5"/>
        <v>0.29399999999999998</v>
      </c>
      <c r="L111" s="3">
        <f t="shared" si="4"/>
        <v>0.70599999999999996</v>
      </c>
    </row>
    <row r="112" spans="1:12" x14ac:dyDescent="0.3">
      <c r="A112" t="s">
        <v>242</v>
      </c>
      <c r="B112" t="s">
        <v>243</v>
      </c>
      <c r="C112" t="s">
        <v>35</v>
      </c>
      <c r="D112">
        <v>65</v>
      </c>
      <c r="E112">
        <v>58</v>
      </c>
      <c r="F112">
        <v>68</v>
      </c>
      <c r="G112">
        <v>69</v>
      </c>
      <c r="H112">
        <v>60</v>
      </c>
      <c r="I112">
        <v>320</v>
      </c>
      <c r="J112">
        <v>500</v>
      </c>
      <c r="K112" s="2">
        <f t="shared" si="5"/>
        <v>0.64</v>
      </c>
      <c r="L112" s="3">
        <f t="shared" si="4"/>
        <v>0.36</v>
      </c>
    </row>
    <row r="113" spans="1:12" x14ac:dyDescent="0.3">
      <c r="A113" t="s">
        <v>244</v>
      </c>
      <c r="B113" t="s">
        <v>245</v>
      </c>
      <c r="C113" t="s">
        <v>38</v>
      </c>
      <c r="D113">
        <v>98</v>
      </c>
      <c r="E113">
        <v>91</v>
      </c>
      <c r="F113">
        <v>95</v>
      </c>
      <c r="G113">
        <v>93</v>
      </c>
      <c r="H113">
        <v>99</v>
      </c>
      <c r="I113">
        <v>476</v>
      </c>
      <c r="J113">
        <v>500</v>
      </c>
      <c r="K113" s="2">
        <f t="shared" si="5"/>
        <v>0.95199999999999996</v>
      </c>
      <c r="L113" s="3">
        <f t="shared" si="4"/>
        <v>4.8000000000000043E-2</v>
      </c>
    </row>
    <row r="114" spans="1:12" x14ac:dyDescent="0.3">
      <c r="A114" t="s">
        <v>246</v>
      </c>
      <c r="B114" t="s">
        <v>247</v>
      </c>
      <c r="C114" t="s">
        <v>17</v>
      </c>
      <c r="D114">
        <v>55</v>
      </c>
      <c r="E114">
        <v>49</v>
      </c>
      <c r="F114">
        <v>58</v>
      </c>
      <c r="G114">
        <v>58</v>
      </c>
      <c r="H114">
        <v>52</v>
      </c>
      <c r="I114">
        <v>272</v>
      </c>
      <c r="J114">
        <v>500</v>
      </c>
      <c r="K114" s="2">
        <f t="shared" si="5"/>
        <v>0.54400000000000004</v>
      </c>
      <c r="L114" s="3">
        <f t="shared" si="4"/>
        <v>0.45599999999999996</v>
      </c>
    </row>
    <row r="115" spans="1:12" x14ac:dyDescent="0.3">
      <c r="A115" t="s">
        <v>248</v>
      </c>
      <c r="B115" t="s">
        <v>249</v>
      </c>
      <c r="C115" t="s">
        <v>20</v>
      </c>
      <c r="D115">
        <v>81</v>
      </c>
      <c r="E115">
        <v>88</v>
      </c>
      <c r="F115">
        <v>87</v>
      </c>
      <c r="G115">
        <v>84</v>
      </c>
      <c r="H115">
        <v>80</v>
      </c>
      <c r="I115">
        <v>420</v>
      </c>
      <c r="J115">
        <v>500</v>
      </c>
      <c r="K115" s="2">
        <f t="shared" si="5"/>
        <v>0.84</v>
      </c>
      <c r="L115" s="3">
        <f t="shared" si="4"/>
        <v>0.16000000000000003</v>
      </c>
    </row>
    <row r="116" spans="1:12" x14ac:dyDescent="0.3">
      <c r="A116" t="s">
        <v>250</v>
      </c>
      <c r="B116" t="s">
        <v>251</v>
      </c>
      <c r="C116" t="s">
        <v>23</v>
      </c>
      <c r="D116">
        <v>17</v>
      </c>
      <c r="E116">
        <v>19</v>
      </c>
      <c r="F116">
        <v>28</v>
      </c>
      <c r="G116">
        <v>25</v>
      </c>
      <c r="H116">
        <v>21</v>
      </c>
      <c r="I116">
        <v>110</v>
      </c>
      <c r="J116">
        <v>500</v>
      </c>
      <c r="K116" s="2">
        <f t="shared" si="5"/>
        <v>0.22</v>
      </c>
      <c r="L116" s="3">
        <f t="shared" si="4"/>
        <v>0.78</v>
      </c>
    </row>
    <row r="117" spans="1:12" x14ac:dyDescent="0.3">
      <c r="A117" t="s">
        <v>252</v>
      </c>
      <c r="B117" t="s">
        <v>253</v>
      </c>
      <c r="C117" t="s">
        <v>26</v>
      </c>
      <c r="D117">
        <v>78</v>
      </c>
      <c r="E117">
        <v>81</v>
      </c>
      <c r="F117">
        <v>75</v>
      </c>
      <c r="G117">
        <v>82</v>
      </c>
      <c r="H117">
        <v>79</v>
      </c>
      <c r="I117">
        <v>395</v>
      </c>
      <c r="J117">
        <v>500</v>
      </c>
      <c r="K117" s="2">
        <f t="shared" si="5"/>
        <v>0.79</v>
      </c>
      <c r="L117" s="3">
        <f t="shared" si="4"/>
        <v>0.20999999999999996</v>
      </c>
    </row>
    <row r="118" spans="1:12" x14ac:dyDescent="0.3">
      <c r="A118" t="s">
        <v>254</v>
      </c>
      <c r="B118" t="s">
        <v>255</v>
      </c>
      <c r="C118" t="s">
        <v>29</v>
      </c>
      <c r="D118">
        <v>91</v>
      </c>
      <c r="E118">
        <v>85</v>
      </c>
      <c r="F118">
        <v>95</v>
      </c>
      <c r="G118">
        <v>88</v>
      </c>
      <c r="H118">
        <v>92</v>
      </c>
      <c r="I118">
        <v>451</v>
      </c>
      <c r="J118">
        <v>500</v>
      </c>
      <c r="K118" s="2">
        <f t="shared" si="5"/>
        <v>0.90200000000000002</v>
      </c>
      <c r="L118" s="3">
        <f t="shared" si="4"/>
        <v>9.7999999999999976E-2</v>
      </c>
    </row>
    <row r="119" spans="1:12" x14ac:dyDescent="0.3">
      <c r="A119" t="s">
        <v>256</v>
      </c>
      <c r="B119" t="s">
        <v>257</v>
      </c>
      <c r="C119" t="s">
        <v>32</v>
      </c>
      <c r="D119">
        <v>47</v>
      </c>
      <c r="E119">
        <v>42</v>
      </c>
      <c r="F119">
        <v>45</v>
      </c>
      <c r="G119">
        <v>41</v>
      </c>
      <c r="H119">
        <v>48</v>
      </c>
      <c r="I119">
        <v>223</v>
      </c>
      <c r="J119">
        <v>500</v>
      </c>
      <c r="K119" s="2">
        <f t="shared" si="5"/>
        <v>0.44600000000000001</v>
      </c>
      <c r="L119" s="3">
        <f t="shared" si="4"/>
        <v>0.55400000000000005</v>
      </c>
    </row>
    <row r="120" spans="1:12" x14ac:dyDescent="0.3">
      <c r="A120" t="s">
        <v>258</v>
      </c>
      <c r="B120" t="s">
        <v>259</v>
      </c>
      <c r="C120" t="s">
        <v>35</v>
      </c>
      <c r="D120">
        <v>78</v>
      </c>
      <c r="E120">
        <v>75</v>
      </c>
      <c r="F120">
        <v>83</v>
      </c>
      <c r="G120">
        <v>80</v>
      </c>
      <c r="H120">
        <v>77</v>
      </c>
      <c r="I120">
        <v>393</v>
      </c>
      <c r="J120">
        <v>500</v>
      </c>
      <c r="K120" s="2">
        <f t="shared" si="5"/>
        <v>0.78600000000000003</v>
      </c>
      <c r="L120" s="3">
        <f t="shared" si="4"/>
        <v>0.21399999999999997</v>
      </c>
    </row>
    <row r="121" spans="1:12" x14ac:dyDescent="0.3">
      <c r="A121" t="s">
        <v>260</v>
      </c>
      <c r="B121" t="s">
        <v>261</v>
      </c>
      <c r="C121" t="s">
        <v>38</v>
      </c>
      <c r="D121">
        <v>33</v>
      </c>
      <c r="E121">
        <v>36</v>
      </c>
      <c r="F121">
        <v>30</v>
      </c>
      <c r="G121">
        <v>38</v>
      </c>
      <c r="H121">
        <v>34</v>
      </c>
      <c r="I121">
        <v>161</v>
      </c>
      <c r="J121">
        <v>500</v>
      </c>
      <c r="K121" s="2">
        <f t="shared" si="5"/>
        <v>0.32200000000000001</v>
      </c>
      <c r="L121" s="3">
        <f t="shared" si="4"/>
        <v>0.67799999999999994</v>
      </c>
    </row>
    <row r="122" spans="1:12" x14ac:dyDescent="0.3">
      <c r="A122" t="s">
        <v>262</v>
      </c>
      <c r="B122" t="s">
        <v>263</v>
      </c>
      <c r="C122" t="s">
        <v>17</v>
      </c>
      <c r="D122">
        <v>78</v>
      </c>
      <c r="E122">
        <v>75</v>
      </c>
      <c r="F122">
        <v>82</v>
      </c>
      <c r="G122">
        <v>80</v>
      </c>
      <c r="H122">
        <v>79</v>
      </c>
      <c r="I122">
        <v>394</v>
      </c>
      <c r="J122">
        <v>500</v>
      </c>
      <c r="K122" s="2">
        <f t="shared" si="5"/>
        <v>0.78800000000000003</v>
      </c>
      <c r="L122" s="3">
        <f t="shared" si="4"/>
        <v>0.21199999999999997</v>
      </c>
    </row>
    <row r="123" spans="1:12" x14ac:dyDescent="0.3">
      <c r="A123" t="s">
        <v>264</v>
      </c>
      <c r="B123" t="s">
        <v>265</v>
      </c>
      <c r="C123" t="s">
        <v>20</v>
      </c>
      <c r="D123">
        <v>95</v>
      </c>
      <c r="E123">
        <v>92</v>
      </c>
      <c r="F123">
        <v>90</v>
      </c>
      <c r="G123">
        <v>98</v>
      </c>
      <c r="H123">
        <v>96</v>
      </c>
      <c r="I123">
        <v>471</v>
      </c>
      <c r="J123">
        <v>500</v>
      </c>
      <c r="K123" s="2">
        <f t="shared" si="5"/>
        <v>0.94199999999999995</v>
      </c>
      <c r="L123" s="3">
        <f t="shared" si="4"/>
        <v>5.8000000000000052E-2</v>
      </c>
    </row>
    <row r="124" spans="1:12" x14ac:dyDescent="0.3">
      <c r="A124" t="s">
        <v>266</v>
      </c>
      <c r="B124" t="s">
        <v>267</v>
      </c>
      <c r="C124" t="s">
        <v>23</v>
      </c>
      <c r="D124">
        <v>28</v>
      </c>
      <c r="E124">
        <v>25</v>
      </c>
      <c r="F124">
        <v>33</v>
      </c>
      <c r="G124">
        <v>30</v>
      </c>
      <c r="H124">
        <v>27</v>
      </c>
      <c r="I124">
        <v>143</v>
      </c>
      <c r="J124">
        <v>500</v>
      </c>
      <c r="K124" s="2">
        <f t="shared" si="5"/>
        <v>0.28599999999999998</v>
      </c>
      <c r="L124" s="3">
        <f t="shared" si="4"/>
        <v>0.71399999999999997</v>
      </c>
    </row>
    <row r="125" spans="1:12" x14ac:dyDescent="0.3">
      <c r="A125" t="s">
        <v>268</v>
      </c>
      <c r="B125" t="s">
        <v>269</v>
      </c>
      <c r="C125" t="s">
        <v>26</v>
      </c>
      <c r="D125">
        <v>82</v>
      </c>
      <c r="E125">
        <v>85</v>
      </c>
      <c r="F125">
        <v>79</v>
      </c>
      <c r="G125">
        <v>87</v>
      </c>
      <c r="H125">
        <v>83</v>
      </c>
      <c r="I125">
        <v>416</v>
      </c>
      <c r="J125">
        <v>500</v>
      </c>
      <c r="K125" s="2">
        <f t="shared" si="5"/>
        <v>0.83199999999999996</v>
      </c>
      <c r="L125" s="3">
        <f t="shared" si="4"/>
        <v>0.16800000000000004</v>
      </c>
    </row>
    <row r="126" spans="1:12" x14ac:dyDescent="0.3">
      <c r="A126" t="s">
        <v>270</v>
      </c>
      <c r="B126" t="s">
        <v>271</v>
      </c>
      <c r="C126" t="s">
        <v>29</v>
      </c>
      <c r="D126">
        <v>99</v>
      </c>
      <c r="E126">
        <v>92</v>
      </c>
      <c r="F126">
        <v>93</v>
      </c>
      <c r="G126">
        <v>96</v>
      </c>
      <c r="H126">
        <v>90</v>
      </c>
      <c r="I126">
        <v>470</v>
      </c>
      <c r="J126">
        <v>500</v>
      </c>
      <c r="K126" s="2">
        <f t="shared" si="5"/>
        <v>0.94</v>
      </c>
      <c r="L126" s="3">
        <f t="shared" si="4"/>
        <v>6.0000000000000053E-2</v>
      </c>
    </row>
    <row r="127" spans="1:12" x14ac:dyDescent="0.3">
      <c r="A127" t="s">
        <v>272</v>
      </c>
      <c r="B127" t="s">
        <v>273</v>
      </c>
      <c r="C127" t="s">
        <v>32</v>
      </c>
      <c r="D127">
        <v>50</v>
      </c>
      <c r="E127">
        <v>48</v>
      </c>
      <c r="F127">
        <v>58</v>
      </c>
      <c r="G127">
        <v>55</v>
      </c>
      <c r="H127">
        <v>52</v>
      </c>
      <c r="I127">
        <v>253</v>
      </c>
      <c r="J127">
        <v>500</v>
      </c>
      <c r="K127" s="2">
        <f t="shared" si="5"/>
        <v>0.50600000000000001</v>
      </c>
      <c r="L127" s="3">
        <f t="shared" si="4"/>
        <v>0.49399999999999999</v>
      </c>
    </row>
    <row r="128" spans="1:12" x14ac:dyDescent="0.3">
      <c r="A128" t="s">
        <v>274</v>
      </c>
      <c r="B128" t="s">
        <v>275</v>
      </c>
      <c r="C128" t="s">
        <v>35</v>
      </c>
      <c r="D128">
        <v>90</v>
      </c>
      <c r="E128">
        <v>87</v>
      </c>
      <c r="F128">
        <v>96</v>
      </c>
      <c r="G128">
        <v>93</v>
      </c>
      <c r="H128">
        <v>89</v>
      </c>
      <c r="I128">
        <v>455</v>
      </c>
      <c r="J128">
        <v>500</v>
      </c>
      <c r="K128" s="2">
        <f t="shared" si="5"/>
        <v>0.91</v>
      </c>
      <c r="L128" s="3">
        <f t="shared" si="4"/>
        <v>8.9999999999999969E-2</v>
      </c>
    </row>
    <row r="129" spans="1:12" x14ac:dyDescent="0.3">
      <c r="A129" t="s">
        <v>276</v>
      </c>
      <c r="B129" t="s">
        <v>277</v>
      </c>
      <c r="C129" t="s">
        <v>38</v>
      </c>
      <c r="D129">
        <v>39</v>
      </c>
      <c r="E129">
        <v>32</v>
      </c>
      <c r="F129">
        <v>36</v>
      </c>
      <c r="G129">
        <v>34</v>
      </c>
      <c r="H129">
        <v>30</v>
      </c>
      <c r="I129">
        <v>171</v>
      </c>
      <c r="J129">
        <v>500</v>
      </c>
      <c r="K129" s="2">
        <f t="shared" si="5"/>
        <v>0.34200000000000003</v>
      </c>
      <c r="L129" s="3">
        <f t="shared" si="4"/>
        <v>0.65799999999999992</v>
      </c>
    </row>
    <row r="130" spans="1:12" x14ac:dyDescent="0.3">
      <c r="A130" t="s">
        <v>278</v>
      </c>
      <c r="B130" t="s">
        <v>279</v>
      </c>
      <c r="C130" t="s">
        <v>17</v>
      </c>
      <c r="D130">
        <v>80</v>
      </c>
      <c r="E130">
        <v>87</v>
      </c>
      <c r="F130">
        <v>86</v>
      </c>
      <c r="G130">
        <v>83</v>
      </c>
      <c r="H130">
        <v>89</v>
      </c>
      <c r="I130">
        <v>425</v>
      </c>
      <c r="J130">
        <v>500</v>
      </c>
      <c r="K130" s="2">
        <f t="shared" ref="K130:K193" si="6">I130/J130</f>
        <v>0.85</v>
      </c>
      <c r="L130" s="3">
        <f t="shared" ref="L130:L141" si="7">100%-K130</f>
        <v>0.15000000000000002</v>
      </c>
    </row>
    <row r="131" spans="1:12" x14ac:dyDescent="0.3">
      <c r="A131" t="s">
        <v>280</v>
      </c>
      <c r="B131" t="s">
        <v>281</v>
      </c>
      <c r="C131" t="s">
        <v>20</v>
      </c>
      <c r="D131">
        <v>29</v>
      </c>
      <c r="E131">
        <v>22</v>
      </c>
      <c r="F131">
        <v>26</v>
      </c>
      <c r="G131">
        <v>24</v>
      </c>
      <c r="H131">
        <v>20</v>
      </c>
      <c r="I131">
        <v>121</v>
      </c>
      <c r="J131">
        <v>500</v>
      </c>
      <c r="K131" s="2">
        <f t="shared" si="6"/>
        <v>0.24199999999999999</v>
      </c>
      <c r="L131" s="3">
        <f t="shared" si="7"/>
        <v>0.75800000000000001</v>
      </c>
    </row>
    <row r="132" spans="1:12" x14ac:dyDescent="0.3">
      <c r="A132" t="s">
        <v>282</v>
      </c>
      <c r="B132" t="s">
        <v>283</v>
      </c>
      <c r="C132" t="s">
        <v>23</v>
      </c>
      <c r="D132">
        <v>75</v>
      </c>
      <c r="E132">
        <v>82</v>
      </c>
      <c r="F132">
        <v>81</v>
      </c>
      <c r="G132">
        <v>78</v>
      </c>
      <c r="H132">
        <v>80</v>
      </c>
      <c r="I132">
        <v>396</v>
      </c>
      <c r="J132">
        <v>500</v>
      </c>
      <c r="K132" s="2">
        <f t="shared" si="6"/>
        <v>0.79200000000000004</v>
      </c>
      <c r="L132" s="3">
        <f t="shared" si="7"/>
        <v>0.20799999999999996</v>
      </c>
    </row>
    <row r="133" spans="1:12" x14ac:dyDescent="0.3">
      <c r="A133" t="s">
        <v>284</v>
      </c>
      <c r="B133" t="s">
        <v>285</v>
      </c>
      <c r="C133" t="s">
        <v>26</v>
      </c>
      <c r="D133">
        <v>32</v>
      </c>
      <c r="E133">
        <v>25</v>
      </c>
      <c r="F133">
        <v>31</v>
      </c>
      <c r="G133">
        <v>29</v>
      </c>
      <c r="H133">
        <v>30</v>
      </c>
      <c r="I133">
        <v>147</v>
      </c>
      <c r="J133">
        <v>500</v>
      </c>
      <c r="K133" s="2">
        <f t="shared" si="6"/>
        <v>0.29399999999999998</v>
      </c>
      <c r="L133" s="3">
        <f t="shared" si="7"/>
        <v>0.70599999999999996</v>
      </c>
    </row>
    <row r="134" spans="1:12" x14ac:dyDescent="0.3">
      <c r="A134" t="s">
        <v>286</v>
      </c>
      <c r="B134" t="s">
        <v>287</v>
      </c>
      <c r="C134" t="s">
        <v>29</v>
      </c>
      <c r="D134">
        <v>65</v>
      </c>
      <c r="E134">
        <v>58</v>
      </c>
      <c r="F134">
        <v>68</v>
      </c>
      <c r="G134">
        <v>69</v>
      </c>
      <c r="H134">
        <v>60</v>
      </c>
      <c r="I134">
        <v>320</v>
      </c>
      <c r="J134">
        <v>500</v>
      </c>
      <c r="K134" s="2">
        <f t="shared" si="6"/>
        <v>0.64</v>
      </c>
      <c r="L134" s="3">
        <f t="shared" si="7"/>
        <v>0.36</v>
      </c>
    </row>
    <row r="135" spans="1:12" x14ac:dyDescent="0.3">
      <c r="A135" t="s">
        <v>288</v>
      </c>
      <c r="B135" t="s">
        <v>289</v>
      </c>
      <c r="C135" t="s">
        <v>32</v>
      </c>
      <c r="D135">
        <v>98</v>
      </c>
      <c r="E135">
        <v>91</v>
      </c>
      <c r="F135">
        <v>95</v>
      </c>
      <c r="G135">
        <v>93</v>
      </c>
      <c r="H135">
        <v>99</v>
      </c>
      <c r="I135">
        <v>476</v>
      </c>
      <c r="J135">
        <v>500</v>
      </c>
      <c r="K135" s="2">
        <f t="shared" si="6"/>
        <v>0.95199999999999996</v>
      </c>
      <c r="L135" s="3">
        <f t="shared" si="7"/>
        <v>4.8000000000000043E-2</v>
      </c>
    </row>
    <row r="136" spans="1:12" x14ac:dyDescent="0.3">
      <c r="A136" t="s">
        <v>290</v>
      </c>
      <c r="B136" t="s">
        <v>291</v>
      </c>
      <c r="C136" t="s">
        <v>35</v>
      </c>
      <c r="D136">
        <v>55</v>
      </c>
      <c r="E136">
        <v>49</v>
      </c>
      <c r="F136">
        <v>58</v>
      </c>
      <c r="G136">
        <v>58</v>
      </c>
      <c r="H136">
        <v>52</v>
      </c>
      <c r="I136">
        <v>272</v>
      </c>
      <c r="J136">
        <v>500</v>
      </c>
      <c r="K136" s="2">
        <f t="shared" si="6"/>
        <v>0.54400000000000004</v>
      </c>
      <c r="L136" s="3">
        <f t="shared" si="7"/>
        <v>0.45599999999999996</v>
      </c>
    </row>
    <row r="137" spans="1:12" x14ac:dyDescent="0.3">
      <c r="A137" t="s">
        <v>292</v>
      </c>
      <c r="B137" t="s">
        <v>293</v>
      </c>
      <c r="C137" t="s">
        <v>38</v>
      </c>
      <c r="D137">
        <v>81</v>
      </c>
      <c r="E137">
        <v>88</v>
      </c>
      <c r="F137">
        <v>87</v>
      </c>
      <c r="G137">
        <v>84</v>
      </c>
      <c r="H137">
        <v>80</v>
      </c>
      <c r="I137">
        <v>420</v>
      </c>
      <c r="J137">
        <v>500</v>
      </c>
      <c r="K137" s="2">
        <f t="shared" si="6"/>
        <v>0.84</v>
      </c>
      <c r="L137" s="3">
        <f t="shared" si="7"/>
        <v>0.16000000000000003</v>
      </c>
    </row>
    <row r="138" spans="1:12" x14ac:dyDescent="0.3">
      <c r="A138" t="s">
        <v>294</v>
      </c>
      <c r="B138" t="s">
        <v>295</v>
      </c>
      <c r="C138" t="s">
        <v>17</v>
      </c>
      <c r="D138">
        <v>17</v>
      </c>
      <c r="E138">
        <v>19</v>
      </c>
      <c r="F138">
        <v>28</v>
      </c>
      <c r="G138">
        <v>25</v>
      </c>
      <c r="H138">
        <v>21</v>
      </c>
      <c r="I138">
        <v>110</v>
      </c>
      <c r="J138">
        <v>500</v>
      </c>
      <c r="K138" s="2">
        <f t="shared" si="6"/>
        <v>0.22</v>
      </c>
      <c r="L138" s="3">
        <f t="shared" si="7"/>
        <v>0.78</v>
      </c>
    </row>
    <row r="139" spans="1:12" x14ac:dyDescent="0.3">
      <c r="A139" t="s">
        <v>296</v>
      </c>
      <c r="B139" t="s">
        <v>297</v>
      </c>
      <c r="C139" t="s">
        <v>20</v>
      </c>
      <c r="D139">
        <v>78</v>
      </c>
      <c r="E139">
        <v>81</v>
      </c>
      <c r="F139">
        <v>75</v>
      </c>
      <c r="G139">
        <v>82</v>
      </c>
      <c r="H139">
        <v>79</v>
      </c>
      <c r="I139">
        <v>395</v>
      </c>
      <c r="J139">
        <v>500</v>
      </c>
      <c r="K139" s="2">
        <f t="shared" si="6"/>
        <v>0.79</v>
      </c>
      <c r="L139" s="3">
        <f t="shared" si="7"/>
        <v>0.20999999999999996</v>
      </c>
    </row>
    <row r="140" spans="1:12" x14ac:dyDescent="0.3">
      <c r="A140" t="s">
        <v>298</v>
      </c>
      <c r="B140" t="s">
        <v>299</v>
      </c>
      <c r="C140" t="s">
        <v>23</v>
      </c>
      <c r="D140">
        <v>91</v>
      </c>
      <c r="E140">
        <v>85</v>
      </c>
      <c r="F140">
        <v>95</v>
      </c>
      <c r="G140">
        <v>88</v>
      </c>
      <c r="H140">
        <v>92</v>
      </c>
      <c r="I140">
        <v>451</v>
      </c>
      <c r="J140">
        <v>500</v>
      </c>
      <c r="K140" s="2">
        <f t="shared" si="6"/>
        <v>0.90200000000000002</v>
      </c>
      <c r="L140" s="3">
        <f t="shared" si="7"/>
        <v>9.7999999999999976E-2</v>
      </c>
    </row>
    <row r="141" spans="1:12" x14ac:dyDescent="0.3">
      <c r="A141" t="s">
        <v>300</v>
      </c>
      <c r="B141" t="s">
        <v>301</v>
      </c>
      <c r="C141" t="s">
        <v>26</v>
      </c>
      <c r="D141">
        <v>47</v>
      </c>
      <c r="E141">
        <v>42</v>
      </c>
      <c r="F141">
        <v>45</v>
      </c>
      <c r="G141">
        <v>41</v>
      </c>
      <c r="H141">
        <v>48</v>
      </c>
      <c r="I141">
        <v>223</v>
      </c>
      <c r="J141">
        <v>500</v>
      </c>
      <c r="K141" s="2">
        <f t="shared" si="6"/>
        <v>0.44600000000000001</v>
      </c>
      <c r="L141" s="3">
        <f t="shared" si="7"/>
        <v>0.55400000000000005</v>
      </c>
    </row>
    <row r="142" spans="1:12" x14ac:dyDescent="0.3">
      <c r="A142" t="s">
        <v>302</v>
      </c>
      <c r="B142" t="s">
        <v>303</v>
      </c>
      <c r="C142" t="s">
        <v>29</v>
      </c>
      <c r="D142">
        <v>78</v>
      </c>
      <c r="E142">
        <v>75</v>
      </c>
      <c r="F142">
        <v>83</v>
      </c>
      <c r="G142">
        <v>80</v>
      </c>
      <c r="H142">
        <v>77</v>
      </c>
      <c r="I142">
        <v>393</v>
      </c>
      <c r="J142">
        <v>500</v>
      </c>
      <c r="K142" s="2">
        <f t="shared" si="6"/>
        <v>0.78600000000000003</v>
      </c>
      <c r="L142" s="3">
        <f>100%-K142</f>
        <v>0.21399999999999997</v>
      </c>
    </row>
    <row r="143" spans="1:12" x14ac:dyDescent="0.3">
      <c r="A143" t="s">
        <v>304</v>
      </c>
      <c r="B143" t="s">
        <v>305</v>
      </c>
      <c r="C143" t="s">
        <v>32</v>
      </c>
      <c r="D143">
        <v>33</v>
      </c>
      <c r="E143">
        <v>36</v>
      </c>
      <c r="F143">
        <v>30</v>
      </c>
      <c r="G143">
        <v>38</v>
      </c>
      <c r="H143">
        <v>34</v>
      </c>
      <c r="I143">
        <v>161</v>
      </c>
      <c r="J143">
        <v>500</v>
      </c>
      <c r="K143" s="2">
        <f t="shared" si="6"/>
        <v>0.32200000000000001</v>
      </c>
      <c r="L143" s="3">
        <f t="shared" ref="L143:L201" si="8">100%-K143</f>
        <v>0.67799999999999994</v>
      </c>
    </row>
    <row r="144" spans="1:12" x14ac:dyDescent="0.3">
      <c r="A144" t="s">
        <v>306</v>
      </c>
      <c r="B144" t="s">
        <v>307</v>
      </c>
      <c r="C144" t="s">
        <v>35</v>
      </c>
      <c r="D144">
        <v>78</v>
      </c>
      <c r="E144">
        <v>75</v>
      </c>
      <c r="F144">
        <v>82</v>
      </c>
      <c r="G144">
        <v>80</v>
      </c>
      <c r="H144">
        <v>79</v>
      </c>
      <c r="I144">
        <v>394</v>
      </c>
      <c r="J144">
        <v>500</v>
      </c>
      <c r="K144" s="2">
        <f t="shared" si="6"/>
        <v>0.78800000000000003</v>
      </c>
      <c r="L144" s="3">
        <f t="shared" si="8"/>
        <v>0.21199999999999997</v>
      </c>
    </row>
    <row r="145" spans="1:12" x14ac:dyDescent="0.3">
      <c r="A145" t="s">
        <v>308</v>
      </c>
      <c r="B145" t="s">
        <v>309</v>
      </c>
      <c r="C145" t="s">
        <v>38</v>
      </c>
      <c r="D145">
        <v>95</v>
      </c>
      <c r="E145">
        <v>92</v>
      </c>
      <c r="F145">
        <v>90</v>
      </c>
      <c r="G145">
        <v>98</v>
      </c>
      <c r="H145">
        <v>96</v>
      </c>
      <c r="I145">
        <v>471</v>
      </c>
      <c r="J145">
        <v>500</v>
      </c>
      <c r="K145" s="2">
        <f t="shared" si="6"/>
        <v>0.94199999999999995</v>
      </c>
      <c r="L145" s="3">
        <f t="shared" si="8"/>
        <v>5.8000000000000052E-2</v>
      </c>
    </row>
    <row r="146" spans="1:12" x14ac:dyDescent="0.3">
      <c r="A146" t="s">
        <v>310</v>
      </c>
      <c r="B146" t="s">
        <v>311</v>
      </c>
      <c r="C146" t="s">
        <v>17</v>
      </c>
      <c r="D146">
        <v>28</v>
      </c>
      <c r="E146">
        <v>25</v>
      </c>
      <c r="F146">
        <v>33</v>
      </c>
      <c r="G146">
        <v>30</v>
      </c>
      <c r="H146">
        <v>27</v>
      </c>
      <c r="I146">
        <v>143</v>
      </c>
      <c r="J146">
        <v>500</v>
      </c>
      <c r="K146" s="2">
        <f t="shared" si="6"/>
        <v>0.28599999999999998</v>
      </c>
      <c r="L146" s="3">
        <f t="shared" si="8"/>
        <v>0.71399999999999997</v>
      </c>
    </row>
    <row r="147" spans="1:12" x14ac:dyDescent="0.3">
      <c r="A147" t="s">
        <v>312</v>
      </c>
      <c r="B147" t="s">
        <v>313</v>
      </c>
      <c r="C147" t="s">
        <v>20</v>
      </c>
      <c r="D147">
        <v>82</v>
      </c>
      <c r="E147">
        <v>85</v>
      </c>
      <c r="F147">
        <v>79</v>
      </c>
      <c r="G147">
        <v>87</v>
      </c>
      <c r="H147">
        <v>83</v>
      </c>
      <c r="I147">
        <v>416</v>
      </c>
      <c r="J147">
        <v>500</v>
      </c>
      <c r="K147" s="2">
        <f t="shared" si="6"/>
        <v>0.83199999999999996</v>
      </c>
      <c r="L147" s="3">
        <f t="shared" si="8"/>
        <v>0.16800000000000004</v>
      </c>
    </row>
    <row r="148" spans="1:12" x14ac:dyDescent="0.3">
      <c r="A148" t="s">
        <v>314</v>
      </c>
      <c r="B148" t="s">
        <v>315</v>
      </c>
      <c r="C148" t="s">
        <v>23</v>
      </c>
      <c r="D148">
        <v>99</v>
      </c>
      <c r="E148">
        <v>92</v>
      </c>
      <c r="F148">
        <v>93</v>
      </c>
      <c r="G148">
        <v>96</v>
      </c>
      <c r="H148">
        <v>90</v>
      </c>
      <c r="I148">
        <v>470</v>
      </c>
      <c r="J148">
        <v>500</v>
      </c>
      <c r="K148" s="2">
        <f t="shared" si="6"/>
        <v>0.94</v>
      </c>
      <c r="L148" s="3">
        <f t="shared" si="8"/>
        <v>6.0000000000000053E-2</v>
      </c>
    </row>
    <row r="149" spans="1:12" x14ac:dyDescent="0.3">
      <c r="A149" t="s">
        <v>316</v>
      </c>
      <c r="B149" t="s">
        <v>317</v>
      </c>
      <c r="C149" t="s">
        <v>26</v>
      </c>
      <c r="D149">
        <v>50</v>
      </c>
      <c r="E149">
        <v>48</v>
      </c>
      <c r="F149">
        <v>58</v>
      </c>
      <c r="G149">
        <v>55</v>
      </c>
      <c r="H149">
        <v>52</v>
      </c>
      <c r="I149">
        <v>253</v>
      </c>
      <c r="J149">
        <v>500</v>
      </c>
      <c r="K149" s="2">
        <f t="shared" si="6"/>
        <v>0.50600000000000001</v>
      </c>
      <c r="L149" s="3">
        <f t="shared" si="8"/>
        <v>0.49399999999999999</v>
      </c>
    </row>
    <row r="150" spans="1:12" x14ac:dyDescent="0.3">
      <c r="A150" t="s">
        <v>318</v>
      </c>
      <c r="B150" t="s">
        <v>319</v>
      </c>
      <c r="C150" t="s">
        <v>29</v>
      </c>
      <c r="D150">
        <v>90</v>
      </c>
      <c r="E150">
        <v>87</v>
      </c>
      <c r="F150">
        <v>96</v>
      </c>
      <c r="G150">
        <v>93</v>
      </c>
      <c r="H150">
        <v>89</v>
      </c>
      <c r="I150">
        <v>455</v>
      </c>
      <c r="J150">
        <v>500</v>
      </c>
      <c r="K150" s="2">
        <f t="shared" si="6"/>
        <v>0.91</v>
      </c>
      <c r="L150" s="3">
        <f t="shared" si="8"/>
        <v>8.9999999999999969E-2</v>
      </c>
    </row>
    <row r="151" spans="1:12" x14ac:dyDescent="0.3">
      <c r="A151" t="s">
        <v>320</v>
      </c>
      <c r="B151" t="s">
        <v>321</v>
      </c>
      <c r="C151" t="s">
        <v>32</v>
      </c>
      <c r="D151">
        <v>39</v>
      </c>
      <c r="E151">
        <v>32</v>
      </c>
      <c r="F151">
        <v>36</v>
      </c>
      <c r="G151">
        <v>34</v>
      </c>
      <c r="H151">
        <v>30</v>
      </c>
      <c r="I151">
        <v>171</v>
      </c>
      <c r="J151">
        <v>500</v>
      </c>
      <c r="K151" s="2">
        <f t="shared" si="6"/>
        <v>0.34200000000000003</v>
      </c>
      <c r="L151" s="3">
        <f t="shared" si="8"/>
        <v>0.65799999999999992</v>
      </c>
    </row>
    <row r="152" spans="1:12" x14ac:dyDescent="0.3">
      <c r="A152" t="s">
        <v>322</v>
      </c>
      <c r="B152" t="s">
        <v>323</v>
      </c>
      <c r="C152" t="s">
        <v>35</v>
      </c>
      <c r="D152">
        <v>80</v>
      </c>
      <c r="E152">
        <v>87</v>
      </c>
      <c r="F152">
        <v>86</v>
      </c>
      <c r="G152">
        <v>83</v>
      </c>
      <c r="H152">
        <v>89</v>
      </c>
      <c r="I152">
        <v>425</v>
      </c>
      <c r="J152">
        <v>500</v>
      </c>
      <c r="K152" s="2">
        <f t="shared" si="6"/>
        <v>0.85</v>
      </c>
      <c r="L152" s="3">
        <f t="shared" si="8"/>
        <v>0.15000000000000002</v>
      </c>
    </row>
    <row r="153" spans="1:12" x14ac:dyDescent="0.3">
      <c r="A153" t="s">
        <v>324</v>
      </c>
      <c r="B153" t="s">
        <v>325</v>
      </c>
      <c r="C153" t="s">
        <v>38</v>
      </c>
      <c r="D153">
        <v>29</v>
      </c>
      <c r="E153">
        <v>22</v>
      </c>
      <c r="F153">
        <v>26</v>
      </c>
      <c r="G153">
        <v>24</v>
      </c>
      <c r="H153">
        <v>20</v>
      </c>
      <c r="I153">
        <v>121</v>
      </c>
      <c r="J153">
        <v>500</v>
      </c>
      <c r="K153" s="2">
        <f t="shared" si="6"/>
        <v>0.24199999999999999</v>
      </c>
      <c r="L153" s="3">
        <f t="shared" si="8"/>
        <v>0.75800000000000001</v>
      </c>
    </row>
    <row r="154" spans="1:12" x14ac:dyDescent="0.3">
      <c r="A154" t="s">
        <v>326</v>
      </c>
      <c r="B154" t="s">
        <v>327</v>
      </c>
      <c r="C154" t="s">
        <v>17</v>
      </c>
      <c r="D154">
        <v>75</v>
      </c>
      <c r="E154">
        <v>82</v>
      </c>
      <c r="F154">
        <v>81</v>
      </c>
      <c r="G154">
        <v>78</v>
      </c>
      <c r="H154">
        <v>80</v>
      </c>
      <c r="I154">
        <v>396</v>
      </c>
      <c r="J154">
        <v>500</v>
      </c>
      <c r="K154" s="2">
        <f t="shared" si="6"/>
        <v>0.79200000000000004</v>
      </c>
      <c r="L154" s="3">
        <f t="shared" si="8"/>
        <v>0.20799999999999996</v>
      </c>
    </row>
    <row r="155" spans="1:12" x14ac:dyDescent="0.3">
      <c r="A155" t="s">
        <v>328</v>
      </c>
      <c r="B155" t="s">
        <v>329</v>
      </c>
      <c r="C155" t="s">
        <v>20</v>
      </c>
      <c r="D155">
        <v>32</v>
      </c>
      <c r="E155">
        <v>25</v>
      </c>
      <c r="F155">
        <v>31</v>
      </c>
      <c r="G155">
        <v>29</v>
      </c>
      <c r="H155">
        <v>30</v>
      </c>
      <c r="I155">
        <v>147</v>
      </c>
      <c r="J155">
        <v>500</v>
      </c>
      <c r="K155" s="2">
        <f t="shared" si="6"/>
        <v>0.29399999999999998</v>
      </c>
      <c r="L155" s="3">
        <f t="shared" si="8"/>
        <v>0.70599999999999996</v>
      </c>
    </row>
    <row r="156" spans="1:12" x14ac:dyDescent="0.3">
      <c r="A156" t="s">
        <v>330</v>
      </c>
      <c r="B156" t="s">
        <v>331</v>
      </c>
      <c r="C156" t="s">
        <v>23</v>
      </c>
      <c r="D156">
        <v>65</v>
      </c>
      <c r="E156">
        <v>58</v>
      </c>
      <c r="F156">
        <v>68</v>
      </c>
      <c r="G156">
        <v>69</v>
      </c>
      <c r="H156">
        <v>60</v>
      </c>
      <c r="I156">
        <v>320</v>
      </c>
      <c r="J156">
        <v>500</v>
      </c>
      <c r="K156" s="2">
        <f t="shared" si="6"/>
        <v>0.64</v>
      </c>
      <c r="L156" s="3">
        <f t="shared" si="8"/>
        <v>0.36</v>
      </c>
    </row>
    <row r="157" spans="1:12" x14ac:dyDescent="0.3">
      <c r="A157" t="s">
        <v>332</v>
      </c>
      <c r="B157" t="s">
        <v>333</v>
      </c>
      <c r="C157" t="s">
        <v>26</v>
      </c>
      <c r="D157">
        <v>98</v>
      </c>
      <c r="E157">
        <v>91</v>
      </c>
      <c r="F157">
        <v>95</v>
      </c>
      <c r="G157">
        <v>93</v>
      </c>
      <c r="H157">
        <v>99</v>
      </c>
      <c r="I157">
        <v>476</v>
      </c>
      <c r="J157">
        <v>500</v>
      </c>
      <c r="K157" s="2">
        <f t="shared" si="6"/>
        <v>0.95199999999999996</v>
      </c>
      <c r="L157" s="3">
        <f t="shared" si="8"/>
        <v>4.8000000000000043E-2</v>
      </c>
    </row>
    <row r="158" spans="1:12" x14ac:dyDescent="0.3">
      <c r="A158" t="s">
        <v>334</v>
      </c>
      <c r="B158" t="s">
        <v>335</v>
      </c>
      <c r="C158" t="s">
        <v>29</v>
      </c>
      <c r="D158">
        <v>55</v>
      </c>
      <c r="E158">
        <v>49</v>
      </c>
      <c r="F158">
        <v>58</v>
      </c>
      <c r="G158">
        <v>58</v>
      </c>
      <c r="H158">
        <v>52</v>
      </c>
      <c r="I158">
        <v>272</v>
      </c>
      <c r="J158">
        <v>500</v>
      </c>
      <c r="K158" s="2">
        <f t="shared" si="6"/>
        <v>0.54400000000000004</v>
      </c>
      <c r="L158" s="3">
        <f t="shared" si="8"/>
        <v>0.45599999999999996</v>
      </c>
    </row>
    <row r="159" spans="1:12" x14ac:dyDescent="0.3">
      <c r="A159" t="s">
        <v>336</v>
      </c>
      <c r="B159" t="s">
        <v>337</v>
      </c>
      <c r="C159" t="s">
        <v>32</v>
      </c>
      <c r="D159">
        <v>81</v>
      </c>
      <c r="E159">
        <v>88</v>
      </c>
      <c r="F159">
        <v>87</v>
      </c>
      <c r="G159">
        <v>84</v>
      </c>
      <c r="H159">
        <v>80</v>
      </c>
      <c r="I159">
        <v>420</v>
      </c>
      <c r="J159">
        <v>500</v>
      </c>
      <c r="K159" s="2">
        <f t="shared" si="6"/>
        <v>0.84</v>
      </c>
      <c r="L159" s="3">
        <f t="shared" si="8"/>
        <v>0.16000000000000003</v>
      </c>
    </row>
    <row r="160" spans="1:12" x14ac:dyDescent="0.3">
      <c r="A160" t="s">
        <v>338</v>
      </c>
      <c r="B160" t="s">
        <v>339</v>
      </c>
      <c r="C160" t="s">
        <v>35</v>
      </c>
      <c r="D160">
        <v>17</v>
      </c>
      <c r="E160">
        <v>19</v>
      </c>
      <c r="F160">
        <v>28</v>
      </c>
      <c r="G160">
        <v>25</v>
      </c>
      <c r="H160">
        <v>21</v>
      </c>
      <c r="I160">
        <v>110</v>
      </c>
      <c r="J160">
        <v>500</v>
      </c>
      <c r="K160" s="2">
        <f t="shared" si="6"/>
        <v>0.22</v>
      </c>
      <c r="L160" s="3">
        <f t="shared" si="8"/>
        <v>0.78</v>
      </c>
    </row>
    <row r="161" spans="1:12" x14ac:dyDescent="0.3">
      <c r="A161" t="s">
        <v>340</v>
      </c>
      <c r="B161" t="s">
        <v>341</v>
      </c>
      <c r="C161" t="s">
        <v>38</v>
      </c>
      <c r="D161">
        <v>78</v>
      </c>
      <c r="E161">
        <v>81</v>
      </c>
      <c r="F161">
        <v>75</v>
      </c>
      <c r="G161">
        <v>82</v>
      </c>
      <c r="H161">
        <v>79</v>
      </c>
      <c r="I161">
        <v>395</v>
      </c>
      <c r="J161">
        <v>500</v>
      </c>
      <c r="K161" s="2">
        <f t="shared" si="6"/>
        <v>0.79</v>
      </c>
      <c r="L161" s="3">
        <f t="shared" si="8"/>
        <v>0.20999999999999996</v>
      </c>
    </row>
    <row r="162" spans="1:12" x14ac:dyDescent="0.3">
      <c r="A162" t="s">
        <v>342</v>
      </c>
      <c r="B162" t="s">
        <v>343</v>
      </c>
      <c r="C162" t="s">
        <v>17</v>
      </c>
      <c r="D162">
        <v>91</v>
      </c>
      <c r="E162">
        <v>85</v>
      </c>
      <c r="F162">
        <v>95</v>
      </c>
      <c r="G162">
        <v>88</v>
      </c>
      <c r="H162">
        <v>92</v>
      </c>
      <c r="I162">
        <v>451</v>
      </c>
      <c r="J162">
        <v>500</v>
      </c>
      <c r="K162" s="2">
        <f t="shared" si="6"/>
        <v>0.90200000000000002</v>
      </c>
      <c r="L162" s="3">
        <f t="shared" si="8"/>
        <v>9.7999999999999976E-2</v>
      </c>
    </row>
    <row r="163" spans="1:12" x14ac:dyDescent="0.3">
      <c r="A163" t="s">
        <v>344</v>
      </c>
      <c r="B163" t="s">
        <v>345</v>
      </c>
      <c r="C163" t="s">
        <v>20</v>
      </c>
      <c r="D163">
        <v>47</v>
      </c>
      <c r="E163">
        <v>42</v>
      </c>
      <c r="F163">
        <v>45</v>
      </c>
      <c r="G163">
        <v>41</v>
      </c>
      <c r="H163">
        <v>48</v>
      </c>
      <c r="I163">
        <v>223</v>
      </c>
      <c r="J163">
        <v>500</v>
      </c>
      <c r="K163" s="2">
        <f t="shared" si="6"/>
        <v>0.44600000000000001</v>
      </c>
      <c r="L163" s="3">
        <f t="shared" si="8"/>
        <v>0.55400000000000005</v>
      </c>
    </row>
    <row r="164" spans="1:12" x14ac:dyDescent="0.3">
      <c r="A164" t="s">
        <v>346</v>
      </c>
      <c r="B164" t="s">
        <v>347</v>
      </c>
      <c r="C164" t="s">
        <v>23</v>
      </c>
      <c r="D164">
        <v>78</v>
      </c>
      <c r="E164">
        <v>75</v>
      </c>
      <c r="F164">
        <v>83</v>
      </c>
      <c r="G164">
        <v>80</v>
      </c>
      <c r="H164">
        <v>77</v>
      </c>
      <c r="I164">
        <v>393</v>
      </c>
      <c r="J164">
        <v>500</v>
      </c>
      <c r="K164" s="2">
        <f t="shared" si="6"/>
        <v>0.78600000000000003</v>
      </c>
      <c r="L164" s="3">
        <f t="shared" si="8"/>
        <v>0.21399999999999997</v>
      </c>
    </row>
    <row r="165" spans="1:12" x14ac:dyDescent="0.3">
      <c r="A165" t="s">
        <v>348</v>
      </c>
      <c r="B165" t="s">
        <v>349</v>
      </c>
      <c r="C165" t="s">
        <v>26</v>
      </c>
      <c r="D165">
        <v>33</v>
      </c>
      <c r="E165">
        <v>36</v>
      </c>
      <c r="F165">
        <v>30</v>
      </c>
      <c r="G165">
        <v>38</v>
      </c>
      <c r="H165">
        <v>34</v>
      </c>
      <c r="I165">
        <v>161</v>
      </c>
      <c r="J165">
        <v>500</v>
      </c>
      <c r="K165" s="2">
        <f t="shared" si="6"/>
        <v>0.32200000000000001</v>
      </c>
      <c r="L165" s="3">
        <f t="shared" si="8"/>
        <v>0.67799999999999994</v>
      </c>
    </row>
    <row r="166" spans="1:12" x14ac:dyDescent="0.3">
      <c r="A166" t="s">
        <v>350</v>
      </c>
      <c r="B166" t="s">
        <v>351</v>
      </c>
      <c r="C166" t="s">
        <v>29</v>
      </c>
      <c r="D166">
        <v>78</v>
      </c>
      <c r="E166">
        <v>75</v>
      </c>
      <c r="F166">
        <v>82</v>
      </c>
      <c r="G166">
        <v>80</v>
      </c>
      <c r="H166">
        <v>79</v>
      </c>
      <c r="I166">
        <v>394</v>
      </c>
      <c r="J166">
        <v>500</v>
      </c>
      <c r="K166" s="2">
        <f t="shared" si="6"/>
        <v>0.78800000000000003</v>
      </c>
      <c r="L166" s="3">
        <f t="shared" si="8"/>
        <v>0.21199999999999997</v>
      </c>
    </row>
    <row r="167" spans="1:12" x14ac:dyDescent="0.3">
      <c r="A167" t="s">
        <v>352</v>
      </c>
      <c r="B167" t="s">
        <v>353</v>
      </c>
      <c r="C167" t="s">
        <v>32</v>
      </c>
      <c r="D167">
        <v>95</v>
      </c>
      <c r="E167">
        <v>92</v>
      </c>
      <c r="F167">
        <v>90</v>
      </c>
      <c r="G167">
        <v>98</v>
      </c>
      <c r="H167">
        <v>96</v>
      </c>
      <c r="I167">
        <v>471</v>
      </c>
      <c r="J167">
        <v>500</v>
      </c>
      <c r="K167" s="2">
        <f t="shared" si="6"/>
        <v>0.94199999999999995</v>
      </c>
      <c r="L167" s="3">
        <f t="shared" si="8"/>
        <v>5.8000000000000052E-2</v>
      </c>
    </row>
    <row r="168" spans="1:12" x14ac:dyDescent="0.3">
      <c r="A168" t="s">
        <v>354</v>
      </c>
      <c r="B168" t="s">
        <v>355</v>
      </c>
      <c r="C168" t="s">
        <v>35</v>
      </c>
      <c r="D168">
        <v>28</v>
      </c>
      <c r="E168">
        <v>25</v>
      </c>
      <c r="F168">
        <v>33</v>
      </c>
      <c r="G168">
        <v>30</v>
      </c>
      <c r="H168">
        <v>27</v>
      </c>
      <c r="I168">
        <v>143</v>
      </c>
      <c r="J168">
        <v>500</v>
      </c>
      <c r="K168" s="2">
        <f t="shared" si="6"/>
        <v>0.28599999999999998</v>
      </c>
      <c r="L168" s="3">
        <f t="shared" si="8"/>
        <v>0.71399999999999997</v>
      </c>
    </row>
    <row r="169" spans="1:12" x14ac:dyDescent="0.3">
      <c r="A169" t="s">
        <v>356</v>
      </c>
      <c r="B169" t="s">
        <v>357</v>
      </c>
      <c r="C169" t="s">
        <v>38</v>
      </c>
      <c r="D169">
        <v>82</v>
      </c>
      <c r="E169">
        <v>85</v>
      </c>
      <c r="F169">
        <v>79</v>
      </c>
      <c r="G169">
        <v>87</v>
      </c>
      <c r="H169">
        <v>83</v>
      </c>
      <c r="I169">
        <v>416</v>
      </c>
      <c r="J169">
        <v>500</v>
      </c>
      <c r="K169" s="2">
        <f t="shared" si="6"/>
        <v>0.83199999999999996</v>
      </c>
      <c r="L169" s="3">
        <f t="shared" si="8"/>
        <v>0.16800000000000004</v>
      </c>
    </row>
    <row r="170" spans="1:12" x14ac:dyDescent="0.3">
      <c r="A170" t="s">
        <v>358</v>
      </c>
      <c r="B170" t="s">
        <v>359</v>
      </c>
      <c r="C170" t="s">
        <v>17</v>
      </c>
      <c r="D170">
        <v>99</v>
      </c>
      <c r="E170">
        <v>92</v>
      </c>
      <c r="F170">
        <v>93</v>
      </c>
      <c r="G170">
        <v>96</v>
      </c>
      <c r="H170">
        <v>90</v>
      </c>
      <c r="I170">
        <v>470</v>
      </c>
      <c r="J170">
        <v>500</v>
      </c>
      <c r="K170" s="2">
        <f t="shared" si="6"/>
        <v>0.94</v>
      </c>
      <c r="L170" s="3">
        <f t="shared" si="8"/>
        <v>6.0000000000000053E-2</v>
      </c>
    </row>
    <row r="171" spans="1:12" x14ac:dyDescent="0.3">
      <c r="A171" t="s">
        <v>360</v>
      </c>
      <c r="B171" t="s">
        <v>361</v>
      </c>
      <c r="C171" t="s">
        <v>20</v>
      </c>
      <c r="D171">
        <v>50</v>
      </c>
      <c r="E171">
        <v>48</v>
      </c>
      <c r="F171">
        <v>58</v>
      </c>
      <c r="G171">
        <v>55</v>
      </c>
      <c r="H171">
        <v>52</v>
      </c>
      <c r="I171">
        <v>253</v>
      </c>
      <c r="J171">
        <v>500</v>
      </c>
      <c r="K171" s="2">
        <f t="shared" si="6"/>
        <v>0.50600000000000001</v>
      </c>
      <c r="L171" s="3">
        <f t="shared" si="8"/>
        <v>0.49399999999999999</v>
      </c>
    </row>
    <row r="172" spans="1:12" x14ac:dyDescent="0.3">
      <c r="A172" t="s">
        <v>362</v>
      </c>
      <c r="B172" t="s">
        <v>363</v>
      </c>
      <c r="C172" t="s">
        <v>23</v>
      </c>
      <c r="D172">
        <v>90</v>
      </c>
      <c r="E172">
        <v>87</v>
      </c>
      <c r="F172">
        <v>96</v>
      </c>
      <c r="G172">
        <v>93</v>
      </c>
      <c r="H172">
        <v>89</v>
      </c>
      <c r="I172">
        <v>455</v>
      </c>
      <c r="J172">
        <v>500</v>
      </c>
      <c r="K172" s="2">
        <f t="shared" si="6"/>
        <v>0.91</v>
      </c>
      <c r="L172" s="3">
        <f t="shared" si="8"/>
        <v>8.9999999999999969E-2</v>
      </c>
    </row>
    <row r="173" spans="1:12" x14ac:dyDescent="0.3">
      <c r="A173" t="s">
        <v>364</v>
      </c>
      <c r="B173" t="s">
        <v>365</v>
      </c>
      <c r="C173" t="s">
        <v>26</v>
      </c>
      <c r="D173">
        <v>39</v>
      </c>
      <c r="E173">
        <v>32</v>
      </c>
      <c r="F173">
        <v>36</v>
      </c>
      <c r="G173">
        <v>34</v>
      </c>
      <c r="H173">
        <v>30</v>
      </c>
      <c r="I173">
        <v>171</v>
      </c>
      <c r="J173">
        <v>500</v>
      </c>
      <c r="K173" s="2">
        <f t="shared" si="6"/>
        <v>0.34200000000000003</v>
      </c>
      <c r="L173" s="3">
        <f t="shared" si="8"/>
        <v>0.65799999999999992</v>
      </c>
    </row>
    <row r="174" spans="1:12" x14ac:dyDescent="0.3">
      <c r="A174" t="s">
        <v>366</v>
      </c>
      <c r="B174" t="s">
        <v>367</v>
      </c>
      <c r="C174" t="s">
        <v>29</v>
      </c>
      <c r="D174">
        <v>80</v>
      </c>
      <c r="E174">
        <v>87</v>
      </c>
      <c r="F174">
        <v>86</v>
      </c>
      <c r="G174">
        <v>83</v>
      </c>
      <c r="H174">
        <v>89</v>
      </c>
      <c r="I174">
        <v>425</v>
      </c>
      <c r="J174">
        <v>500</v>
      </c>
      <c r="K174" s="2">
        <f t="shared" si="6"/>
        <v>0.85</v>
      </c>
      <c r="L174" s="3">
        <f t="shared" si="8"/>
        <v>0.15000000000000002</v>
      </c>
    </row>
    <row r="175" spans="1:12" x14ac:dyDescent="0.3">
      <c r="A175" t="s">
        <v>368</v>
      </c>
      <c r="B175" t="s">
        <v>369</v>
      </c>
      <c r="C175" t="s">
        <v>32</v>
      </c>
      <c r="D175">
        <v>29</v>
      </c>
      <c r="E175">
        <v>22</v>
      </c>
      <c r="F175">
        <v>26</v>
      </c>
      <c r="G175">
        <v>24</v>
      </c>
      <c r="H175">
        <v>20</v>
      </c>
      <c r="I175">
        <v>121</v>
      </c>
      <c r="J175">
        <v>500</v>
      </c>
      <c r="K175" s="2">
        <f t="shared" si="6"/>
        <v>0.24199999999999999</v>
      </c>
      <c r="L175" s="3">
        <f t="shared" si="8"/>
        <v>0.75800000000000001</v>
      </c>
    </row>
    <row r="176" spans="1:12" x14ac:dyDescent="0.3">
      <c r="A176" t="s">
        <v>370</v>
      </c>
      <c r="B176" t="s">
        <v>371</v>
      </c>
      <c r="C176" t="s">
        <v>35</v>
      </c>
      <c r="D176">
        <v>75</v>
      </c>
      <c r="E176">
        <v>82</v>
      </c>
      <c r="F176">
        <v>81</v>
      </c>
      <c r="G176">
        <v>78</v>
      </c>
      <c r="H176">
        <v>80</v>
      </c>
      <c r="I176">
        <v>396</v>
      </c>
      <c r="J176">
        <v>500</v>
      </c>
      <c r="K176" s="2">
        <f t="shared" si="6"/>
        <v>0.79200000000000004</v>
      </c>
      <c r="L176" s="3">
        <f t="shared" si="8"/>
        <v>0.20799999999999996</v>
      </c>
    </row>
    <row r="177" spans="1:12" x14ac:dyDescent="0.3">
      <c r="A177" t="s">
        <v>372</v>
      </c>
      <c r="B177" t="s">
        <v>82</v>
      </c>
      <c r="C177" t="s">
        <v>38</v>
      </c>
      <c r="D177">
        <v>32</v>
      </c>
      <c r="E177">
        <v>25</v>
      </c>
      <c r="F177">
        <v>31</v>
      </c>
      <c r="G177">
        <v>29</v>
      </c>
      <c r="H177">
        <v>30</v>
      </c>
      <c r="I177">
        <v>147</v>
      </c>
      <c r="J177">
        <v>500</v>
      </c>
      <c r="K177" s="2">
        <f t="shared" si="6"/>
        <v>0.29399999999999998</v>
      </c>
      <c r="L177" s="3">
        <f t="shared" si="8"/>
        <v>0.70599999999999996</v>
      </c>
    </row>
    <row r="178" spans="1:12" x14ac:dyDescent="0.3">
      <c r="A178" t="s">
        <v>373</v>
      </c>
      <c r="B178" t="s">
        <v>374</v>
      </c>
      <c r="C178" t="s">
        <v>17</v>
      </c>
      <c r="D178">
        <v>65</v>
      </c>
      <c r="E178">
        <v>58</v>
      </c>
      <c r="F178">
        <v>68</v>
      </c>
      <c r="G178">
        <v>69</v>
      </c>
      <c r="H178">
        <v>60</v>
      </c>
      <c r="I178">
        <v>320</v>
      </c>
      <c r="J178">
        <v>500</v>
      </c>
      <c r="K178" s="2">
        <f t="shared" si="6"/>
        <v>0.64</v>
      </c>
      <c r="L178" s="3">
        <f t="shared" si="8"/>
        <v>0.36</v>
      </c>
    </row>
    <row r="179" spans="1:12" x14ac:dyDescent="0.3">
      <c r="A179" t="s">
        <v>375</v>
      </c>
      <c r="B179" t="s">
        <v>376</v>
      </c>
      <c r="C179" t="s">
        <v>20</v>
      </c>
      <c r="D179">
        <v>98</v>
      </c>
      <c r="E179">
        <v>91</v>
      </c>
      <c r="F179">
        <v>95</v>
      </c>
      <c r="G179">
        <v>93</v>
      </c>
      <c r="H179">
        <v>99</v>
      </c>
      <c r="I179">
        <v>476</v>
      </c>
      <c r="J179">
        <v>500</v>
      </c>
      <c r="K179" s="2">
        <f t="shared" si="6"/>
        <v>0.95199999999999996</v>
      </c>
      <c r="L179" s="3">
        <f t="shared" si="8"/>
        <v>4.8000000000000043E-2</v>
      </c>
    </row>
    <row r="180" spans="1:12" x14ac:dyDescent="0.3">
      <c r="A180" t="s">
        <v>377</v>
      </c>
      <c r="B180" t="s">
        <v>378</v>
      </c>
      <c r="C180" t="s">
        <v>23</v>
      </c>
      <c r="D180">
        <v>55</v>
      </c>
      <c r="E180">
        <v>49</v>
      </c>
      <c r="F180">
        <v>58</v>
      </c>
      <c r="G180">
        <v>58</v>
      </c>
      <c r="H180">
        <v>52</v>
      </c>
      <c r="I180">
        <v>272</v>
      </c>
      <c r="J180">
        <v>500</v>
      </c>
      <c r="K180" s="2">
        <f t="shared" si="6"/>
        <v>0.54400000000000004</v>
      </c>
      <c r="L180" s="3">
        <f t="shared" si="8"/>
        <v>0.45599999999999996</v>
      </c>
    </row>
    <row r="181" spans="1:12" x14ac:dyDescent="0.3">
      <c r="A181" t="s">
        <v>379</v>
      </c>
      <c r="B181" t="s">
        <v>380</v>
      </c>
      <c r="C181" t="s">
        <v>26</v>
      </c>
      <c r="D181">
        <v>81</v>
      </c>
      <c r="E181">
        <v>88</v>
      </c>
      <c r="F181">
        <v>87</v>
      </c>
      <c r="G181">
        <v>84</v>
      </c>
      <c r="H181">
        <v>80</v>
      </c>
      <c r="I181">
        <v>420</v>
      </c>
      <c r="J181">
        <v>500</v>
      </c>
      <c r="K181" s="2">
        <f t="shared" si="6"/>
        <v>0.84</v>
      </c>
      <c r="L181" s="3">
        <f t="shared" si="8"/>
        <v>0.16000000000000003</v>
      </c>
    </row>
    <row r="182" spans="1:12" x14ac:dyDescent="0.3">
      <c r="A182" t="s">
        <v>381</v>
      </c>
      <c r="B182" t="s">
        <v>382</v>
      </c>
      <c r="C182" t="s">
        <v>29</v>
      </c>
      <c r="D182">
        <v>17</v>
      </c>
      <c r="E182">
        <v>19</v>
      </c>
      <c r="F182">
        <v>28</v>
      </c>
      <c r="G182">
        <v>25</v>
      </c>
      <c r="H182">
        <v>21</v>
      </c>
      <c r="I182">
        <v>110</v>
      </c>
      <c r="J182">
        <v>500</v>
      </c>
      <c r="K182" s="2">
        <f t="shared" si="6"/>
        <v>0.22</v>
      </c>
      <c r="L182" s="3">
        <f t="shared" si="8"/>
        <v>0.78</v>
      </c>
    </row>
    <row r="183" spans="1:12" x14ac:dyDescent="0.3">
      <c r="A183" t="s">
        <v>383</v>
      </c>
      <c r="B183" t="s">
        <v>384</v>
      </c>
      <c r="C183" t="s">
        <v>32</v>
      </c>
      <c r="D183">
        <v>78</v>
      </c>
      <c r="E183">
        <v>81</v>
      </c>
      <c r="F183">
        <v>75</v>
      </c>
      <c r="G183">
        <v>82</v>
      </c>
      <c r="H183">
        <v>79</v>
      </c>
      <c r="I183">
        <v>395</v>
      </c>
      <c r="J183">
        <v>500</v>
      </c>
      <c r="K183" s="2">
        <f t="shared" si="6"/>
        <v>0.79</v>
      </c>
      <c r="L183" s="3">
        <f t="shared" si="8"/>
        <v>0.20999999999999996</v>
      </c>
    </row>
    <row r="184" spans="1:12" x14ac:dyDescent="0.3">
      <c r="A184" t="s">
        <v>385</v>
      </c>
      <c r="B184" t="s">
        <v>386</v>
      </c>
      <c r="C184" t="s">
        <v>35</v>
      </c>
      <c r="D184">
        <v>91</v>
      </c>
      <c r="E184">
        <v>85</v>
      </c>
      <c r="F184">
        <v>95</v>
      </c>
      <c r="G184">
        <v>88</v>
      </c>
      <c r="H184">
        <v>92</v>
      </c>
      <c r="I184">
        <v>451</v>
      </c>
      <c r="J184">
        <v>500</v>
      </c>
      <c r="K184" s="2">
        <f t="shared" si="6"/>
        <v>0.90200000000000002</v>
      </c>
      <c r="L184" s="3">
        <f t="shared" si="8"/>
        <v>9.7999999999999976E-2</v>
      </c>
    </row>
    <row r="185" spans="1:12" x14ac:dyDescent="0.3">
      <c r="A185" t="s">
        <v>387</v>
      </c>
      <c r="B185" t="s">
        <v>388</v>
      </c>
      <c r="C185" t="s">
        <v>38</v>
      </c>
      <c r="D185">
        <v>47</v>
      </c>
      <c r="E185">
        <v>42</v>
      </c>
      <c r="F185">
        <v>45</v>
      </c>
      <c r="G185">
        <v>41</v>
      </c>
      <c r="H185">
        <v>48</v>
      </c>
      <c r="I185">
        <v>223</v>
      </c>
      <c r="J185">
        <v>500</v>
      </c>
      <c r="K185" s="2">
        <f t="shared" si="6"/>
        <v>0.44600000000000001</v>
      </c>
      <c r="L185" s="3">
        <f t="shared" si="8"/>
        <v>0.55400000000000005</v>
      </c>
    </row>
    <row r="186" spans="1:12" x14ac:dyDescent="0.3">
      <c r="A186" t="s">
        <v>389</v>
      </c>
      <c r="B186" t="s">
        <v>390</v>
      </c>
      <c r="C186" t="s">
        <v>17</v>
      </c>
      <c r="D186">
        <v>78</v>
      </c>
      <c r="E186">
        <v>75</v>
      </c>
      <c r="F186">
        <v>83</v>
      </c>
      <c r="G186">
        <v>80</v>
      </c>
      <c r="H186">
        <v>77</v>
      </c>
      <c r="I186">
        <v>393</v>
      </c>
      <c r="J186">
        <v>500</v>
      </c>
      <c r="K186" s="2">
        <f t="shared" si="6"/>
        <v>0.78600000000000003</v>
      </c>
      <c r="L186" s="3">
        <f t="shared" si="8"/>
        <v>0.21399999999999997</v>
      </c>
    </row>
    <row r="187" spans="1:12" x14ac:dyDescent="0.3">
      <c r="A187" t="s">
        <v>391</v>
      </c>
      <c r="B187" t="s">
        <v>392</v>
      </c>
      <c r="C187" t="s">
        <v>20</v>
      </c>
      <c r="D187">
        <v>33</v>
      </c>
      <c r="E187">
        <v>36</v>
      </c>
      <c r="F187">
        <v>30</v>
      </c>
      <c r="G187">
        <v>38</v>
      </c>
      <c r="H187">
        <v>34</v>
      </c>
      <c r="I187">
        <v>161</v>
      </c>
      <c r="J187">
        <v>500</v>
      </c>
      <c r="K187" s="2">
        <f t="shared" si="6"/>
        <v>0.32200000000000001</v>
      </c>
      <c r="L187" s="3">
        <f t="shared" si="8"/>
        <v>0.67799999999999994</v>
      </c>
    </row>
    <row r="188" spans="1:12" x14ac:dyDescent="0.3">
      <c r="A188" t="s">
        <v>393</v>
      </c>
      <c r="B188" t="s">
        <v>394</v>
      </c>
      <c r="C188" t="s">
        <v>23</v>
      </c>
      <c r="D188">
        <v>78</v>
      </c>
      <c r="E188">
        <v>75</v>
      </c>
      <c r="F188">
        <v>82</v>
      </c>
      <c r="G188">
        <v>80</v>
      </c>
      <c r="H188">
        <v>79</v>
      </c>
      <c r="I188">
        <v>394</v>
      </c>
      <c r="J188">
        <v>500</v>
      </c>
      <c r="K188" s="2">
        <f t="shared" si="6"/>
        <v>0.78800000000000003</v>
      </c>
      <c r="L188" s="3">
        <f t="shared" si="8"/>
        <v>0.21199999999999997</v>
      </c>
    </row>
    <row r="189" spans="1:12" x14ac:dyDescent="0.3">
      <c r="A189" t="s">
        <v>395</v>
      </c>
      <c r="B189" t="s">
        <v>396</v>
      </c>
      <c r="C189" t="s">
        <v>26</v>
      </c>
      <c r="D189">
        <v>95</v>
      </c>
      <c r="E189">
        <v>92</v>
      </c>
      <c r="F189">
        <v>90</v>
      </c>
      <c r="G189">
        <v>98</v>
      </c>
      <c r="H189">
        <v>96</v>
      </c>
      <c r="I189">
        <v>471</v>
      </c>
      <c r="J189">
        <v>500</v>
      </c>
      <c r="K189" s="2">
        <f t="shared" si="6"/>
        <v>0.94199999999999995</v>
      </c>
      <c r="L189" s="3">
        <f t="shared" si="8"/>
        <v>5.8000000000000052E-2</v>
      </c>
    </row>
    <row r="190" spans="1:12" x14ac:dyDescent="0.3">
      <c r="A190" t="s">
        <v>397</v>
      </c>
      <c r="B190" t="s">
        <v>398</v>
      </c>
      <c r="C190" t="s">
        <v>29</v>
      </c>
      <c r="D190">
        <v>28</v>
      </c>
      <c r="E190">
        <v>25</v>
      </c>
      <c r="F190">
        <v>33</v>
      </c>
      <c r="G190">
        <v>30</v>
      </c>
      <c r="H190">
        <v>27</v>
      </c>
      <c r="I190">
        <v>143</v>
      </c>
      <c r="J190">
        <v>500</v>
      </c>
      <c r="K190" s="2">
        <f t="shared" si="6"/>
        <v>0.28599999999999998</v>
      </c>
      <c r="L190" s="3">
        <f t="shared" si="8"/>
        <v>0.71399999999999997</v>
      </c>
    </row>
    <row r="191" spans="1:12" x14ac:dyDescent="0.3">
      <c r="A191" t="s">
        <v>399</v>
      </c>
      <c r="B191" t="s">
        <v>400</v>
      </c>
      <c r="C191" t="s">
        <v>32</v>
      </c>
      <c r="D191">
        <v>82</v>
      </c>
      <c r="E191">
        <v>85</v>
      </c>
      <c r="F191">
        <v>79</v>
      </c>
      <c r="G191">
        <v>87</v>
      </c>
      <c r="H191">
        <v>83</v>
      </c>
      <c r="I191">
        <v>416</v>
      </c>
      <c r="J191">
        <v>500</v>
      </c>
      <c r="K191" s="2">
        <f t="shared" si="6"/>
        <v>0.83199999999999996</v>
      </c>
      <c r="L191" s="3">
        <f t="shared" si="8"/>
        <v>0.16800000000000004</v>
      </c>
    </row>
    <row r="192" spans="1:12" x14ac:dyDescent="0.3">
      <c r="A192" t="s">
        <v>401</v>
      </c>
      <c r="B192" t="s">
        <v>402</v>
      </c>
      <c r="C192" t="s">
        <v>35</v>
      </c>
      <c r="D192">
        <v>99</v>
      </c>
      <c r="E192">
        <v>92</v>
      </c>
      <c r="F192">
        <v>93</v>
      </c>
      <c r="G192">
        <v>96</v>
      </c>
      <c r="H192">
        <v>90</v>
      </c>
      <c r="I192">
        <v>470</v>
      </c>
      <c r="J192">
        <v>500</v>
      </c>
      <c r="K192" s="2">
        <f t="shared" si="6"/>
        <v>0.94</v>
      </c>
      <c r="L192" s="3">
        <f t="shared" si="8"/>
        <v>6.0000000000000053E-2</v>
      </c>
    </row>
    <row r="193" spans="1:12" x14ac:dyDescent="0.3">
      <c r="A193" t="s">
        <v>403</v>
      </c>
      <c r="B193" t="s">
        <v>404</v>
      </c>
      <c r="C193" t="s">
        <v>38</v>
      </c>
      <c r="D193">
        <v>50</v>
      </c>
      <c r="E193">
        <v>48</v>
      </c>
      <c r="F193">
        <v>58</v>
      </c>
      <c r="G193">
        <v>55</v>
      </c>
      <c r="H193">
        <v>52</v>
      </c>
      <c r="I193">
        <v>253</v>
      </c>
      <c r="J193">
        <v>500</v>
      </c>
      <c r="K193" s="2">
        <f t="shared" si="6"/>
        <v>0.50600000000000001</v>
      </c>
      <c r="L193" s="3">
        <f t="shared" si="8"/>
        <v>0.49399999999999999</v>
      </c>
    </row>
    <row r="194" spans="1:12" x14ac:dyDescent="0.3">
      <c r="A194" t="s">
        <v>405</v>
      </c>
      <c r="B194" t="s">
        <v>406</v>
      </c>
      <c r="C194" t="s">
        <v>17</v>
      </c>
      <c r="D194">
        <v>90</v>
      </c>
      <c r="E194">
        <v>87</v>
      </c>
      <c r="F194">
        <v>96</v>
      </c>
      <c r="G194">
        <v>93</v>
      </c>
      <c r="H194">
        <v>89</v>
      </c>
      <c r="I194">
        <v>455</v>
      </c>
      <c r="J194">
        <v>500</v>
      </c>
      <c r="K194" s="2">
        <f t="shared" ref="K194:K201" si="9">I194/J194</f>
        <v>0.91</v>
      </c>
      <c r="L194" s="3">
        <f t="shared" si="8"/>
        <v>8.9999999999999969E-2</v>
      </c>
    </row>
    <row r="195" spans="1:12" x14ac:dyDescent="0.3">
      <c r="A195" t="s">
        <v>407</v>
      </c>
      <c r="B195" t="s">
        <v>408</v>
      </c>
      <c r="C195" t="s">
        <v>20</v>
      </c>
      <c r="D195">
        <v>39</v>
      </c>
      <c r="E195">
        <v>32</v>
      </c>
      <c r="F195">
        <v>36</v>
      </c>
      <c r="G195">
        <v>34</v>
      </c>
      <c r="H195">
        <v>30</v>
      </c>
      <c r="I195">
        <v>171</v>
      </c>
      <c r="J195">
        <v>500</v>
      </c>
      <c r="K195" s="2">
        <f t="shared" si="9"/>
        <v>0.34200000000000003</v>
      </c>
      <c r="L195" s="3">
        <f t="shared" si="8"/>
        <v>0.65799999999999992</v>
      </c>
    </row>
    <row r="196" spans="1:12" x14ac:dyDescent="0.3">
      <c r="A196" t="s">
        <v>409</v>
      </c>
      <c r="B196" t="s">
        <v>410</v>
      </c>
      <c r="C196" t="s">
        <v>23</v>
      </c>
      <c r="D196">
        <v>80</v>
      </c>
      <c r="E196">
        <v>87</v>
      </c>
      <c r="F196">
        <v>86</v>
      </c>
      <c r="G196">
        <v>83</v>
      </c>
      <c r="H196">
        <v>89</v>
      </c>
      <c r="I196">
        <v>425</v>
      </c>
      <c r="J196">
        <v>500</v>
      </c>
      <c r="K196" s="2">
        <f t="shared" si="9"/>
        <v>0.85</v>
      </c>
      <c r="L196" s="3">
        <f t="shared" si="8"/>
        <v>0.15000000000000002</v>
      </c>
    </row>
    <row r="197" spans="1:12" x14ac:dyDescent="0.3">
      <c r="A197" t="s">
        <v>411</v>
      </c>
      <c r="B197" t="s">
        <v>412</v>
      </c>
      <c r="C197" t="s">
        <v>26</v>
      </c>
      <c r="D197">
        <v>29</v>
      </c>
      <c r="E197">
        <v>22</v>
      </c>
      <c r="F197">
        <v>26</v>
      </c>
      <c r="G197">
        <v>24</v>
      </c>
      <c r="H197">
        <v>20</v>
      </c>
      <c r="I197">
        <v>121</v>
      </c>
      <c r="J197">
        <v>500</v>
      </c>
      <c r="K197" s="2">
        <f t="shared" si="9"/>
        <v>0.24199999999999999</v>
      </c>
      <c r="L197" s="3">
        <f t="shared" si="8"/>
        <v>0.75800000000000001</v>
      </c>
    </row>
    <row r="198" spans="1:12" x14ac:dyDescent="0.3">
      <c r="A198" t="s">
        <v>413</v>
      </c>
      <c r="B198" t="s">
        <v>414</v>
      </c>
      <c r="C198" t="s">
        <v>29</v>
      </c>
      <c r="D198">
        <v>75</v>
      </c>
      <c r="E198">
        <v>82</v>
      </c>
      <c r="F198">
        <v>81</v>
      </c>
      <c r="G198">
        <v>78</v>
      </c>
      <c r="H198">
        <v>80</v>
      </c>
      <c r="I198">
        <v>396</v>
      </c>
      <c r="J198">
        <v>500</v>
      </c>
      <c r="K198" s="2">
        <f t="shared" si="9"/>
        <v>0.79200000000000004</v>
      </c>
      <c r="L198" s="3">
        <f t="shared" si="8"/>
        <v>0.20799999999999996</v>
      </c>
    </row>
    <row r="199" spans="1:12" x14ac:dyDescent="0.3">
      <c r="A199" t="s">
        <v>415</v>
      </c>
      <c r="B199" t="s">
        <v>416</v>
      </c>
      <c r="C199" t="s">
        <v>32</v>
      </c>
      <c r="D199">
        <v>32</v>
      </c>
      <c r="E199">
        <v>25</v>
      </c>
      <c r="F199">
        <v>31</v>
      </c>
      <c r="G199">
        <v>29</v>
      </c>
      <c r="H199">
        <v>30</v>
      </c>
      <c r="I199">
        <v>147</v>
      </c>
      <c r="J199">
        <v>500</v>
      </c>
      <c r="K199" s="2">
        <f t="shared" si="9"/>
        <v>0.29399999999999998</v>
      </c>
      <c r="L199" s="3">
        <f t="shared" si="8"/>
        <v>0.70599999999999996</v>
      </c>
    </row>
    <row r="200" spans="1:12" x14ac:dyDescent="0.3">
      <c r="A200" t="s">
        <v>417</v>
      </c>
      <c r="B200" t="s">
        <v>418</v>
      </c>
      <c r="C200" t="s">
        <v>35</v>
      </c>
      <c r="D200">
        <v>65</v>
      </c>
      <c r="E200">
        <v>58</v>
      </c>
      <c r="F200">
        <v>68</v>
      </c>
      <c r="G200">
        <v>69</v>
      </c>
      <c r="H200">
        <v>60</v>
      </c>
      <c r="I200">
        <v>320</v>
      </c>
      <c r="J200">
        <v>500</v>
      </c>
      <c r="K200" s="2">
        <f t="shared" si="9"/>
        <v>0.64</v>
      </c>
      <c r="L200" s="3">
        <f t="shared" si="8"/>
        <v>0.36</v>
      </c>
    </row>
    <row r="201" spans="1:12" x14ac:dyDescent="0.3">
      <c r="A201" t="s">
        <v>419</v>
      </c>
      <c r="B201" t="s">
        <v>420</v>
      </c>
      <c r="C201" t="s">
        <v>38</v>
      </c>
      <c r="D201">
        <v>98</v>
      </c>
      <c r="E201">
        <v>91</v>
      </c>
      <c r="F201">
        <v>95</v>
      </c>
      <c r="G201">
        <v>93</v>
      </c>
      <c r="H201">
        <v>99</v>
      </c>
      <c r="I201">
        <v>476</v>
      </c>
      <c r="J201">
        <v>500</v>
      </c>
      <c r="K201" s="2">
        <f t="shared" si="9"/>
        <v>0.95199999999999996</v>
      </c>
      <c r="L201" s="3">
        <f t="shared" si="8"/>
        <v>4.8000000000000043E-2</v>
      </c>
    </row>
  </sheetData>
  <autoFilter ref="B1:B142" xr:uid="{633F61F5-29FC-481D-994C-0523746C78ED}"/>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106D1-3CAA-4180-95E2-CDD2F5580523}">
  <sheetPr codeName="Sheet4"/>
  <dimension ref="A1:K30"/>
  <sheetViews>
    <sheetView tabSelected="1" zoomScale="130" zoomScaleNormal="130" workbookViewId="0">
      <selection activeCell="J34" sqref="J34"/>
      <extLst>
        <ext xmlns:xlsdti="http://schemas.microsoft.com/office/spreadsheetml/2023/showDataTypeIcons" uri="{77bfe23e-c014-4d31-8a63-9c772dbf06b6}">
          <xlsdti:showDataTypeIcons visible="0"/>
        </ext>
      </extLst>
    </sheetView>
  </sheetViews>
  <sheetFormatPr defaultRowHeight="14.4" x14ac:dyDescent="0.3"/>
  <cols>
    <col min="1" max="1" width="16" bestFit="1" customWidth="1"/>
    <col min="2" max="2" width="17.88671875" customWidth="1"/>
    <col min="3" max="3" width="2" customWidth="1"/>
    <col min="4" max="4" width="16" bestFit="1" customWidth="1"/>
    <col min="5" max="5" width="18.5546875" customWidth="1"/>
    <col min="6" max="6" width="2.109375" customWidth="1"/>
    <col min="7" max="7" width="16.5546875" customWidth="1"/>
    <col min="8" max="8" width="20.77734375" customWidth="1"/>
    <col min="9" max="9" width="1.77734375" customWidth="1"/>
    <col min="10" max="10" width="16.44140625" customWidth="1"/>
    <col min="11" max="11" width="28.5546875" customWidth="1"/>
  </cols>
  <sheetData>
    <row r="1" spans="1:11" ht="30.6" customHeight="1" x14ac:dyDescent="0.3">
      <c r="A1" s="7" t="b">
        <v>1</v>
      </c>
      <c r="B1" s="7"/>
      <c r="C1" s="7"/>
      <c r="D1" s="7" t="b">
        <v>1</v>
      </c>
      <c r="E1" s="7"/>
      <c r="F1" s="7"/>
      <c r="G1" s="7" t="b">
        <v>1</v>
      </c>
      <c r="H1" s="7"/>
      <c r="I1" s="7"/>
      <c r="J1" s="7" t="b">
        <v>1</v>
      </c>
      <c r="K1" s="7"/>
    </row>
    <row r="2" spans="1:11" ht="35.4" customHeight="1" x14ac:dyDescent="0.3">
      <c r="A2" s="7"/>
      <c r="B2" s="7"/>
      <c r="C2" s="7"/>
      <c r="D2" s="7"/>
      <c r="E2" s="7"/>
      <c r="F2" s="7"/>
      <c r="G2" s="7"/>
      <c r="H2" s="7"/>
      <c r="I2" s="7"/>
      <c r="J2" s="7"/>
      <c r="K2" s="7"/>
    </row>
    <row r="3" spans="1:11" x14ac:dyDescent="0.3">
      <c r="A3" s="4" t="s">
        <v>1</v>
      </c>
      <c r="B3" t="s">
        <v>421</v>
      </c>
      <c r="C3" s="7"/>
      <c r="D3" s="4" t="s">
        <v>1</v>
      </c>
      <c r="E3" t="s">
        <v>12</v>
      </c>
      <c r="F3" s="7"/>
      <c r="G3" s="4" t="s">
        <v>1</v>
      </c>
      <c r="H3" t="s">
        <v>13</v>
      </c>
      <c r="I3" s="7"/>
      <c r="J3" s="4" t="s">
        <v>1</v>
      </c>
      <c r="K3" t="s">
        <v>14</v>
      </c>
    </row>
    <row r="4" spans="1:11" x14ac:dyDescent="0.3">
      <c r="A4" s="5" t="s">
        <v>122</v>
      </c>
      <c r="B4" s="9">
        <v>395</v>
      </c>
      <c r="C4" s="7"/>
      <c r="D4" s="5" t="s">
        <v>19</v>
      </c>
      <c r="E4" s="9">
        <v>97</v>
      </c>
      <c r="F4" s="7"/>
      <c r="G4" s="5" t="s">
        <v>122</v>
      </c>
      <c r="H4" s="6">
        <v>0.79</v>
      </c>
      <c r="I4" s="7"/>
      <c r="J4" s="5" t="s">
        <v>19</v>
      </c>
      <c r="K4" s="6">
        <v>0.80600000000000005</v>
      </c>
    </row>
    <row r="5" spans="1:11" x14ac:dyDescent="0.3">
      <c r="A5" s="5" t="s">
        <v>138</v>
      </c>
      <c r="B5" s="9">
        <v>416</v>
      </c>
      <c r="C5" s="7"/>
      <c r="D5" s="5" t="s">
        <v>154</v>
      </c>
      <c r="E5" s="9">
        <v>147</v>
      </c>
      <c r="F5" s="7"/>
      <c r="G5" s="5" t="s">
        <v>138</v>
      </c>
      <c r="H5" s="6">
        <v>0.83199999999999996</v>
      </c>
      <c r="I5" s="7"/>
      <c r="J5" s="5" t="s">
        <v>66</v>
      </c>
      <c r="K5" s="6">
        <v>0.70599999999999996</v>
      </c>
    </row>
    <row r="6" spans="1:11" x14ac:dyDescent="0.3">
      <c r="A6" s="5" t="s">
        <v>202</v>
      </c>
      <c r="B6" s="9">
        <v>476</v>
      </c>
      <c r="C6" s="7"/>
      <c r="D6" s="5" t="s">
        <v>66</v>
      </c>
      <c r="E6" s="9">
        <v>147</v>
      </c>
      <c r="F6" s="7"/>
      <c r="G6" s="5" t="s">
        <v>202</v>
      </c>
      <c r="H6" s="6">
        <v>0.95199999999999996</v>
      </c>
      <c r="I6" s="7"/>
      <c r="J6" s="5" t="s">
        <v>106</v>
      </c>
      <c r="K6" s="6">
        <v>0.75800000000000001</v>
      </c>
    </row>
    <row r="7" spans="1:11" x14ac:dyDescent="0.3">
      <c r="A7" s="5" t="s">
        <v>249</v>
      </c>
      <c r="B7" s="9">
        <v>420</v>
      </c>
      <c r="C7" s="7"/>
      <c r="D7" s="5" t="s">
        <v>281</v>
      </c>
      <c r="E7" s="9">
        <v>121</v>
      </c>
      <c r="F7" s="7"/>
      <c r="G7" s="5" t="s">
        <v>249</v>
      </c>
      <c r="H7" s="6">
        <v>0.84</v>
      </c>
      <c r="I7" s="7"/>
      <c r="J7" s="5" t="s">
        <v>154</v>
      </c>
      <c r="K7" s="6">
        <v>0.70599999999999996</v>
      </c>
    </row>
    <row r="8" spans="1:11" x14ac:dyDescent="0.3">
      <c r="A8" s="5" t="s">
        <v>265</v>
      </c>
      <c r="B8" s="9">
        <v>471</v>
      </c>
      <c r="C8" s="7"/>
      <c r="D8" s="5" t="s">
        <v>106</v>
      </c>
      <c r="E8" s="9">
        <v>121</v>
      </c>
      <c r="F8" s="7"/>
      <c r="G8" s="5" t="s">
        <v>265</v>
      </c>
      <c r="H8" s="6">
        <v>0.94199999999999995</v>
      </c>
      <c r="I8" s="7"/>
      <c r="J8" s="5" t="s">
        <v>281</v>
      </c>
      <c r="K8" s="6">
        <v>0.75800000000000001</v>
      </c>
    </row>
    <row r="9" spans="1:11" x14ac:dyDescent="0.3">
      <c r="A9" s="5" t="s">
        <v>297</v>
      </c>
      <c r="B9" s="9">
        <v>395</v>
      </c>
      <c r="C9" s="7"/>
      <c r="F9" s="7"/>
      <c r="G9" s="5" t="s">
        <v>297</v>
      </c>
      <c r="H9" s="6">
        <v>0.79</v>
      </c>
      <c r="I9" s="7"/>
    </row>
    <row r="10" spans="1:11" x14ac:dyDescent="0.3">
      <c r="A10" s="7"/>
      <c r="B10" s="7"/>
      <c r="C10" s="7"/>
      <c r="D10" s="7"/>
      <c r="E10" s="7"/>
      <c r="F10" s="7"/>
      <c r="G10" s="7"/>
      <c r="H10" s="7"/>
      <c r="I10" s="7"/>
      <c r="J10" s="7"/>
      <c r="K10" s="7"/>
    </row>
    <row r="11" spans="1:11" x14ac:dyDescent="0.3">
      <c r="A11" s="7"/>
      <c r="B11" s="7"/>
      <c r="C11" s="7"/>
      <c r="D11" s="7"/>
      <c r="E11" s="7"/>
      <c r="F11" s="7"/>
      <c r="G11" s="7"/>
      <c r="H11" s="7"/>
      <c r="I11" s="7"/>
      <c r="J11" s="7"/>
      <c r="K11" s="7"/>
    </row>
    <row r="12" spans="1:11" x14ac:dyDescent="0.3">
      <c r="A12" s="7"/>
      <c r="B12" s="7"/>
      <c r="C12" s="7"/>
      <c r="D12" s="7"/>
      <c r="E12" s="7"/>
      <c r="F12" s="7"/>
      <c r="G12" s="7"/>
      <c r="H12" s="7"/>
      <c r="I12" s="7"/>
      <c r="J12" s="7"/>
      <c r="K12" s="7"/>
    </row>
    <row r="13" spans="1:11" x14ac:dyDescent="0.3">
      <c r="A13" s="7"/>
      <c r="B13" s="7"/>
      <c r="C13" s="7"/>
      <c r="D13" s="7"/>
      <c r="E13" s="7"/>
      <c r="F13" s="7"/>
      <c r="G13" s="7"/>
      <c r="H13" s="7"/>
      <c r="I13" s="7"/>
      <c r="J13" s="7"/>
      <c r="K13" s="7"/>
    </row>
    <row r="14" spans="1:11" x14ac:dyDescent="0.3">
      <c r="A14" s="7"/>
      <c r="B14" s="7"/>
      <c r="C14" s="7"/>
      <c r="D14" s="7"/>
      <c r="E14" s="7"/>
      <c r="F14" s="7"/>
      <c r="G14" s="7"/>
      <c r="H14" s="7"/>
      <c r="I14" s="7"/>
      <c r="J14" s="7"/>
      <c r="K14" s="7"/>
    </row>
    <row r="15" spans="1:11" x14ac:dyDescent="0.3">
      <c r="A15" s="7"/>
      <c r="B15" s="7"/>
      <c r="C15" s="7"/>
      <c r="D15" s="7"/>
      <c r="E15" s="7"/>
      <c r="F15" s="7"/>
      <c r="G15" s="7"/>
      <c r="H15" s="7"/>
      <c r="I15" s="7"/>
      <c r="J15" s="7"/>
      <c r="K15" s="7"/>
    </row>
    <row r="16" spans="1:11" x14ac:dyDescent="0.3">
      <c r="A16" s="7"/>
      <c r="B16" s="7"/>
      <c r="C16" s="7"/>
      <c r="D16" s="7"/>
      <c r="E16" s="7"/>
      <c r="F16" s="7"/>
      <c r="G16" s="7"/>
      <c r="H16" s="7"/>
      <c r="I16" s="7"/>
      <c r="J16" s="7"/>
      <c r="K16" s="7"/>
    </row>
    <row r="17" spans="1:11" x14ac:dyDescent="0.3">
      <c r="A17" s="7"/>
      <c r="B17" s="7"/>
      <c r="C17" s="7"/>
      <c r="D17" s="7"/>
      <c r="E17" s="7"/>
      <c r="F17" s="7"/>
      <c r="G17" s="7"/>
      <c r="H17" s="7"/>
      <c r="I17" s="7"/>
      <c r="J17" s="7"/>
      <c r="K17" s="7"/>
    </row>
    <row r="18" spans="1:11" x14ac:dyDescent="0.3">
      <c r="A18" s="7"/>
      <c r="B18" s="7"/>
      <c r="C18" s="7"/>
      <c r="D18" s="7"/>
      <c r="E18" s="7"/>
      <c r="F18" s="7"/>
      <c r="G18" s="7"/>
      <c r="H18" s="7"/>
      <c r="I18" s="7"/>
      <c r="J18" s="7"/>
      <c r="K18" s="7"/>
    </row>
    <row r="19" spans="1:11" x14ac:dyDescent="0.3">
      <c r="A19" s="7"/>
      <c r="B19" s="7"/>
      <c r="C19" s="7"/>
      <c r="D19" s="7"/>
      <c r="E19" s="7"/>
      <c r="F19" s="7"/>
      <c r="G19" s="7"/>
      <c r="H19" s="7"/>
      <c r="I19" s="7"/>
      <c r="J19" s="7"/>
      <c r="K19" s="7"/>
    </row>
    <row r="20" spans="1:11" x14ac:dyDescent="0.3">
      <c r="A20" s="7"/>
      <c r="B20" s="7"/>
      <c r="C20" s="7"/>
      <c r="D20" s="7"/>
      <c r="E20" s="7"/>
      <c r="F20" s="7"/>
      <c r="G20" s="7"/>
      <c r="H20" s="7"/>
      <c r="I20" s="7"/>
      <c r="J20" s="7"/>
      <c r="K20" s="7"/>
    </row>
    <row r="21" spans="1:11" x14ac:dyDescent="0.3">
      <c r="A21" s="7"/>
      <c r="B21" s="7"/>
      <c r="C21" s="7"/>
      <c r="D21" s="7"/>
      <c r="E21" s="7"/>
      <c r="F21" s="7"/>
      <c r="G21" s="7"/>
      <c r="H21" s="7"/>
      <c r="I21" s="7"/>
      <c r="J21" s="7"/>
      <c r="K21" s="7"/>
    </row>
    <row r="22" spans="1:11" x14ac:dyDescent="0.3">
      <c r="A22" s="7"/>
      <c r="B22" s="7"/>
      <c r="C22" s="7"/>
      <c r="D22" s="7"/>
      <c r="E22" s="7"/>
      <c r="F22" s="7"/>
      <c r="G22" s="7"/>
      <c r="H22" s="7"/>
      <c r="I22" s="7"/>
      <c r="J22" s="7"/>
      <c r="K22" s="7"/>
    </row>
    <row r="23" spans="1:11" x14ac:dyDescent="0.3">
      <c r="A23" s="7"/>
      <c r="B23" s="7"/>
      <c r="C23" s="7"/>
      <c r="D23" s="7"/>
      <c r="E23" s="7"/>
      <c r="F23" s="7"/>
      <c r="G23" s="7"/>
      <c r="H23" s="7"/>
      <c r="I23" s="7"/>
      <c r="J23" s="7"/>
      <c r="K23" s="7"/>
    </row>
    <row r="24" spans="1:11" x14ac:dyDescent="0.3">
      <c r="A24" s="7"/>
      <c r="B24" s="7"/>
      <c r="C24" s="7"/>
      <c r="D24" s="7"/>
      <c r="E24" s="7"/>
      <c r="F24" s="7"/>
      <c r="G24" s="7"/>
      <c r="H24" s="7"/>
      <c r="I24" s="7"/>
      <c r="J24" s="7"/>
      <c r="K24" s="7"/>
    </row>
    <row r="25" spans="1:11" x14ac:dyDescent="0.3">
      <c r="A25" s="7"/>
      <c r="B25" s="7"/>
      <c r="C25" s="7"/>
      <c r="D25" s="7"/>
      <c r="E25" s="7"/>
      <c r="F25" s="7"/>
      <c r="G25" s="7"/>
      <c r="H25" s="7"/>
      <c r="I25" s="7"/>
      <c r="J25" s="7"/>
      <c r="K25" s="7"/>
    </row>
    <row r="26" spans="1:11" x14ac:dyDescent="0.3">
      <c r="A26" s="7"/>
      <c r="B26" s="7"/>
      <c r="C26" s="7"/>
      <c r="D26" s="7"/>
      <c r="E26" s="7"/>
      <c r="F26" s="7"/>
      <c r="G26" s="7"/>
      <c r="H26" s="7"/>
      <c r="I26" s="7"/>
      <c r="J26" s="7"/>
      <c r="K26" s="7"/>
    </row>
    <row r="27" spans="1:11" x14ac:dyDescent="0.3">
      <c r="A27" s="7"/>
      <c r="B27" s="7"/>
      <c r="C27" s="7"/>
      <c r="D27" s="7"/>
      <c r="E27" s="7"/>
      <c r="F27" s="7"/>
      <c r="G27" s="7"/>
      <c r="H27" s="7"/>
      <c r="I27" s="7"/>
      <c r="J27" s="7"/>
      <c r="K27" s="7"/>
    </row>
    <row r="28" spans="1:11" x14ac:dyDescent="0.3">
      <c r="A28" s="7"/>
      <c r="B28" s="7"/>
      <c r="C28" s="7"/>
      <c r="D28" s="7"/>
      <c r="E28" s="7"/>
      <c r="F28" s="7"/>
      <c r="G28" s="7"/>
      <c r="H28" s="7"/>
      <c r="I28" s="7"/>
      <c r="J28" s="7"/>
      <c r="K28" s="7"/>
    </row>
    <row r="29" spans="1:11" x14ac:dyDescent="0.3">
      <c r="A29" s="7"/>
      <c r="B29" s="7"/>
      <c r="C29" s="7"/>
      <c r="D29" s="7"/>
      <c r="E29" s="7"/>
      <c r="F29" s="7"/>
      <c r="G29" s="7"/>
      <c r="H29" s="7"/>
      <c r="I29" s="7"/>
      <c r="J29" s="7"/>
      <c r="K29" s="7"/>
    </row>
    <row r="30" spans="1:11" x14ac:dyDescent="0.3">
      <c r="C30" s="7"/>
      <c r="D30" s="7"/>
      <c r="E30" s="7"/>
      <c r="F30" s="7"/>
      <c r="G30" s="7"/>
      <c r="H30" s="7"/>
      <c r="I30" s="7"/>
      <c r="J30" s="7"/>
      <c r="K30" s="7"/>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701040</xdr:colOff>
                    <xdr:row>1</xdr:row>
                    <xdr:rowOff>121920</xdr:rowOff>
                  </from>
                  <to>
                    <xdr:col>1</xdr:col>
                    <xdr:colOff>358140</xdr:colOff>
                    <xdr:row>1</xdr:row>
                    <xdr:rowOff>342900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3</xdr:col>
                    <xdr:colOff>685800</xdr:colOff>
                    <xdr:row>1</xdr:row>
                    <xdr:rowOff>121920</xdr:rowOff>
                  </from>
                  <to>
                    <xdr:col>4</xdr:col>
                    <xdr:colOff>342900</xdr:colOff>
                    <xdr:row>1</xdr:row>
                    <xdr:rowOff>342900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6</xdr:col>
                    <xdr:colOff>647700</xdr:colOff>
                    <xdr:row>1</xdr:row>
                    <xdr:rowOff>114300</xdr:rowOff>
                  </from>
                  <to>
                    <xdr:col>7</xdr:col>
                    <xdr:colOff>259080</xdr:colOff>
                    <xdr:row>1</xdr:row>
                    <xdr:rowOff>335280</xdr:rowOff>
                  </to>
                </anchor>
              </controlPr>
            </control>
          </mc:Choice>
        </mc:AlternateContent>
        <mc:AlternateContent xmlns:mc="http://schemas.openxmlformats.org/markup-compatibility/2006">
          <mc:Choice Requires="x14">
            <control shapeId="3078" r:id="rId11" name="Check Box 6">
              <controlPr defaultSize="0" autoFill="0" autoLine="0" autoPict="0" macro="[0]!slicerConnection">
                <anchor moveWithCells="1">
                  <from>
                    <xdr:col>9</xdr:col>
                    <xdr:colOff>685800</xdr:colOff>
                    <xdr:row>1</xdr:row>
                    <xdr:rowOff>121920</xdr:rowOff>
                  </from>
                  <to>
                    <xdr:col>10</xdr:col>
                    <xdr:colOff>312420</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MY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MD Jahid Hasan Shawn</cp:lastModifiedBy>
  <dcterms:created xsi:type="dcterms:W3CDTF">2022-05-30T01:30:00Z</dcterms:created>
  <dcterms:modified xsi:type="dcterms:W3CDTF">2025-06-22T11:53:23Z</dcterms:modified>
</cp:coreProperties>
</file>